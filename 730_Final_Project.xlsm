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E:\MSBA\Prescriptive Modeling Course\Final project\"/>
    </mc:Choice>
  </mc:AlternateContent>
  <xr:revisionPtr revIDLastSave="0" documentId="13_ncr:1_{4AAC97AF-3378-46F2-9E44-B20E498CE1C0}" xr6:coauthVersionLast="47" xr6:coauthVersionMax="47" xr10:uidLastSave="{00000000-0000-0000-0000-000000000000}"/>
  <bookViews>
    <workbookView xWindow="-98" yWindow="-98" windowWidth="19396" windowHeight="10546" firstSheet="2" activeTab="2" xr2:uid="{00000000-000D-0000-FFFF-FFFF00000000}"/>
  </bookViews>
  <sheets>
    <sheet name="Model_description" sheetId="2" r:id="rId1"/>
    <sheet name="Truck_information" sheetId="5" r:id="rId2"/>
    <sheet name="USA_Diesel_prices" sheetId="14" r:id="rId3"/>
    <sheet name="Tolls_and_check_facilities" sheetId="9" r:id="rId4"/>
    <sheet name="Medium_model" sheetId="7" r:id="rId5"/>
    <sheet name="Medium_model_data" sheetId="10" r:id="rId6"/>
  </sheets>
  <definedNames>
    <definedName name="ExternalData_1" localSheetId="2" hidden="1">USA_Diesel_prices!$A$1:$C$3</definedName>
    <definedName name="solver_adj" localSheetId="4" hidden="1">Medium_model!$H$13:$H$76</definedName>
    <definedName name="solver_cvg" localSheetId="4" hidden="1">0.0001</definedName>
    <definedName name="solver_drv" localSheetId="4" hidden="1">1</definedName>
    <definedName name="solver_eng" localSheetId="4" hidden="1">2</definedName>
    <definedName name="solver_est" localSheetId="4" hidden="1">1</definedName>
    <definedName name="solver_itr" localSheetId="4" hidden="1">2147483647</definedName>
    <definedName name="solver_lhs1" localSheetId="4" hidden="1">Medium_model!$B$91</definedName>
    <definedName name="solver_lhs2" localSheetId="4" hidden="1">Medium_model!$H$13:$H$76</definedName>
    <definedName name="solver_lhs3" localSheetId="4" hidden="1">Medium_model!$Q$14:$Q$30</definedName>
    <definedName name="solver_lhs4" localSheetId="4" hidden="1">Medium_model!$Q$14:$Q$30</definedName>
    <definedName name="solver_lhs5" localSheetId="4" hidden="1">Medium_model!$Q$14:$Q$30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3</definedName>
    <definedName name="solver_nwt" localSheetId="4" hidden="1">1</definedName>
    <definedName name="solver_opt" localSheetId="4" hidden="1">Medium_model!$L$79</definedName>
    <definedName name="solver_pre" localSheetId="4" hidden="1">0.000001</definedName>
    <definedName name="solver_rbv" localSheetId="4" hidden="1">1</definedName>
    <definedName name="solver_rel1" localSheetId="4" hidden="1">2</definedName>
    <definedName name="solver_rel2" localSheetId="4" hidden="1">5</definedName>
    <definedName name="solver_rel3" localSheetId="4" hidden="1">2</definedName>
    <definedName name="solver_rel4" localSheetId="4" hidden="1">2</definedName>
    <definedName name="solver_rel5" localSheetId="4" hidden="1">2</definedName>
    <definedName name="solver_rhs1" localSheetId="4" hidden="1">Medium_model!$D$91</definedName>
    <definedName name="solver_rhs2" localSheetId="4" hidden="1">"binary"</definedName>
    <definedName name="solver_rhs3" localSheetId="4" hidden="1">Medium_model!$S$14:$S$30</definedName>
    <definedName name="solver_rhs4" localSheetId="4" hidden="1">Medium_model!$S$14:$S$30</definedName>
    <definedName name="solver_rhs5" localSheetId="4" hidden="1">Medium_model!$S$14:$S$30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2</definedName>
    <definedName name="solver_val" localSheetId="4" hidden="1">0</definedName>
    <definedName name="solver_ver" localSheetId="4"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13" i="7" l="1"/>
  <c r="B91" i="7"/>
  <c r="D91" i="7"/>
  <c r="E13" i="7"/>
  <c r="P15" i="7"/>
  <c r="O15" i="7"/>
  <c r="O14" i="7"/>
  <c r="Q14" i="7" s="1"/>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5" i="5"/>
  <c r="E4" i="5"/>
  <c r="E3" i="5"/>
  <c r="E2" i="5"/>
  <c r="E7" i="5"/>
  <c r="E6" i="5"/>
  <c r="H79" i="7"/>
  <c r="D79" i="7"/>
  <c r="F14" i="7"/>
  <c r="K14" i="7" s="1"/>
  <c r="F15" i="7"/>
  <c r="K15" i="7" s="1"/>
  <c r="F16" i="7"/>
  <c r="K16" i="7" s="1"/>
  <c r="F17" i="7"/>
  <c r="K17" i="7" s="1"/>
  <c r="F18" i="7"/>
  <c r="K18" i="7" s="1"/>
  <c r="F19" i="7"/>
  <c r="K19" i="7" s="1"/>
  <c r="F20" i="7"/>
  <c r="K20" i="7" s="1"/>
  <c r="F21" i="7"/>
  <c r="K21" i="7" s="1"/>
  <c r="F22" i="7"/>
  <c r="K22" i="7" s="1"/>
  <c r="F23" i="7"/>
  <c r="K23" i="7" s="1"/>
  <c r="F24" i="7"/>
  <c r="K24" i="7" s="1"/>
  <c r="F25" i="7"/>
  <c r="K25" i="7" s="1"/>
  <c r="F26" i="7"/>
  <c r="K26" i="7" s="1"/>
  <c r="F27" i="7"/>
  <c r="K27" i="7" s="1"/>
  <c r="F28" i="7"/>
  <c r="K28" i="7" s="1"/>
  <c r="F29" i="7"/>
  <c r="K29" i="7" s="1"/>
  <c r="F30" i="7"/>
  <c r="K30" i="7" s="1"/>
  <c r="F31" i="7"/>
  <c r="K31" i="7" s="1"/>
  <c r="F32" i="7"/>
  <c r="K32" i="7" s="1"/>
  <c r="F33" i="7"/>
  <c r="K33" i="7" s="1"/>
  <c r="F34" i="7"/>
  <c r="K34" i="7" s="1"/>
  <c r="F35" i="7"/>
  <c r="K35" i="7" s="1"/>
  <c r="F36" i="7"/>
  <c r="K36" i="7" s="1"/>
  <c r="F37" i="7"/>
  <c r="K37" i="7" s="1"/>
  <c r="F38" i="7"/>
  <c r="K38" i="7" s="1"/>
  <c r="F39" i="7"/>
  <c r="K39" i="7" s="1"/>
  <c r="F40" i="7"/>
  <c r="K40" i="7" s="1"/>
  <c r="F41" i="7"/>
  <c r="K41" i="7" s="1"/>
  <c r="F42" i="7"/>
  <c r="K42" i="7" s="1"/>
  <c r="F43" i="7"/>
  <c r="K43" i="7" s="1"/>
  <c r="F44" i="7"/>
  <c r="K44" i="7" s="1"/>
  <c r="F45" i="7"/>
  <c r="K45" i="7" s="1"/>
  <c r="F46" i="7"/>
  <c r="K46" i="7" s="1"/>
  <c r="F47" i="7"/>
  <c r="K47" i="7" s="1"/>
  <c r="F48" i="7"/>
  <c r="K48" i="7" s="1"/>
  <c r="F49" i="7"/>
  <c r="K49" i="7" s="1"/>
  <c r="F50" i="7"/>
  <c r="K50" i="7" s="1"/>
  <c r="F51" i="7"/>
  <c r="K51" i="7" s="1"/>
  <c r="F52" i="7"/>
  <c r="K52" i="7" s="1"/>
  <c r="F53" i="7"/>
  <c r="K53" i="7" s="1"/>
  <c r="F54" i="7"/>
  <c r="K54" i="7" s="1"/>
  <c r="F55" i="7"/>
  <c r="K55" i="7" s="1"/>
  <c r="F56" i="7"/>
  <c r="K56" i="7" s="1"/>
  <c r="F57" i="7"/>
  <c r="K57" i="7" s="1"/>
  <c r="F58" i="7"/>
  <c r="K58" i="7" s="1"/>
  <c r="F59" i="7"/>
  <c r="K59" i="7" s="1"/>
  <c r="F60" i="7"/>
  <c r="K60" i="7" s="1"/>
  <c r="F61" i="7"/>
  <c r="K61" i="7" s="1"/>
  <c r="F62" i="7"/>
  <c r="K62" i="7" s="1"/>
  <c r="F63" i="7"/>
  <c r="K63" i="7" s="1"/>
  <c r="F64" i="7"/>
  <c r="K64" i="7" s="1"/>
  <c r="F65" i="7"/>
  <c r="K65" i="7" s="1"/>
  <c r="F66" i="7"/>
  <c r="K66" i="7" s="1"/>
  <c r="F67" i="7"/>
  <c r="K67" i="7" s="1"/>
  <c r="F68" i="7"/>
  <c r="K68" i="7" s="1"/>
  <c r="F69" i="7"/>
  <c r="K69" i="7" s="1"/>
  <c r="F70" i="7"/>
  <c r="K70" i="7" s="1"/>
  <c r="F71" i="7"/>
  <c r="K71" i="7" s="1"/>
  <c r="F72" i="7"/>
  <c r="K72" i="7" s="1"/>
  <c r="F73" i="7"/>
  <c r="K73" i="7" s="1"/>
  <c r="F74" i="7"/>
  <c r="K74" i="7" s="1"/>
  <c r="F75" i="7"/>
  <c r="K75" i="7" s="1"/>
  <c r="F76" i="7"/>
  <c r="K76" i="7" s="1"/>
  <c r="P30" i="7"/>
  <c r="Q30" i="7" s="1"/>
  <c r="P29" i="7"/>
  <c r="P28" i="7"/>
  <c r="P27" i="7"/>
  <c r="P26" i="7"/>
  <c r="P25" i="7"/>
  <c r="P24" i="7"/>
  <c r="P23" i="7"/>
  <c r="P22" i="7"/>
  <c r="P21" i="7"/>
  <c r="P20" i="7"/>
  <c r="P19" i="7"/>
  <c r="P18" i="7"/>
  <c r="P17" i="7"/>
  <c r="P16" i="7"/>
  <c r="O23" i="7"/>
  <c r="O28" i="7"/>
  <c r="O29" i="7"/>
  <c r="O27" i="7"/>
  <c r="O25" i="7"/>
  <c r="O24" i="7"/>
  <c r="O22" i="7"/>
  <c r="O21" i="7"/>
  <c r="O20" i="7"/>
  <c r="O19" i="7"/>
  <c r="O18" i="7"/>
  <c r="O17" i="7"/>
  <c r="O16" i="7"/>
  <c r="C7" i="7"/>
  <c r="C6" i="7"/>
  <c r="G83" i="7" l="1"/>
  <c r="K13" i="7"/>
  <c r="J13" i="7"/>
  <c r="G84" i="7"/>
  <c r="J28" i="7"/>
  <c r="C8" i="7"/>
  <c r="G86" i="7"/>
  <c r="G85" i="7"/>
  <c r="G87" i="7"/>
  <c r="J75" i="7"/>
  <c r="J74" i="7"/>
  <c r="J26" i="7"/>
  <c r="J59" i="7"/>
  <c r="J58" i="7"/>
  <c r="J43" i="7"/>
  <c r="J42" i="7"/>
  <c r="J27" i="7"/>
  <c r="J73" i="7"/>
  <c r="J57" i="7"/>
  <c r="J41" i="7"/>
  <c r="J25" i="7"/>
  <c r="J72" i="7"/>
  <c r="J56" i="7"/>
  <c r="J40" i="7"/>
  <c r="J24" i="7"/>
  <c r="J71" i="7"/>
  <c r="J55" i="7"/>
  <c r="J39" i="7"/>
  <c r="J23" i="7"/>
  <c r="J70" i="7"/>
  <c r="J54" i="7"/>
  <c r="J38" i="7"/>
  <c r="J22" i="7"/>
  <c r="J69" i="7"/>
  <c r="J53" i="7"/>
  <c r="J37" i="7"/>
  <c r="J21" i="7"/>
  <c r="J68" i="7"/>
  <c r="J52" i="7"/>
  <c r="J36" i="7"/>
  <c r="J20" i="7"/>
  <c r="J67" i="7"/>
  <c r="J51" i="7"/>
  <c r="J35" i="7"/>
  <c r="J19" i="7"/>
  <c r="J66" i="7"/>
  <c r="J50" i="7"/>
  <c r="J34" i="7"/>
  <c r="J18" i="7"/>
  <c r="J65" i="7"/>
  <c r="J49" i="7"/>
  <c r="J33" i="7"/>
  <c r="J17" i="7"/>
  <c r="J64" i="7"/>
  <c r="J48" i="7"/>
  <c r="J32" i="7"/>
  <c r="J16" i="7"/>
  <c r="J63" i="7"/>
  <c r="J47" i="7"/>
  <c r="J31" i="7"/>
  <c r="J15" i="7"/>
  <c r="J62" i="7"/>
  <c r="J46" i="7"/>
  <c r="J30" i="7"/>
  <c r="J14" i="7"/>
  <c r="J61" i="7"/>
  <c r="J45" i="7"/>
  <c r="J29" i="7"/>
  <c r="J76" i="7"/>
  <c r="J60" i="7"/>
  <c r="J44" i="7"/>
  <c r="Q29" i="7"/>
  <c r="Q18" i="7"/>
  <c r="Q27" i="7"/>
  <c r="Q21" i="7"/>
  <c r="Q22" i="7"/>
  <c r="Q28" i="7"/>
  <c r="Q19" i="7"/>
  <c r="Q25" i="7"/>
  <c r="Q24" i="7"/>
  <c r="Q23" i="7"/>
  <c r="Q15" i="7"/>
  <c r="Q16" i="7"/>
  <c r="Q17" i="7"/>
  <c r="Q20" i="7"/>
  <c r="O26" i="7"/>
  <c r="Q26" i="7" s="1"/>
  <c r="L67" i="7" l="1"/>
  <c r="L13" i="7"/>
  <c r="L16" i="7"/>
  <c r="L73" i="7"/>
  <c r="L24" i="7"/>
  <c r="L57" i="7"/>
  <c r="L70" i="7"/>
  <c r="L21" i="7"/>
  <c r="L59" i="7"/>
  <c r="L76" i="7"/>
  <c r="L19" i="7"/>
  <c r="L22" i="7"/>
  <c r="L51" i="7"/>
  <c r="L58" i="7"/>
  <c r="L56" i="7"/>
  <c r="L74" i="7"/>
  <c r="L68" i="7"/>
  <c r="L71" i="7"/>
  <c r="L38" i="7"/>
  <c r="L54" i="7"/>
  <c r="L62" i="7"/>
  <c r="L65" i="7"/>
  <c r="L75" i="7"/>
  <c r="L14" i="7"/>
  <c r="L30" i="7"/>
  <c r="L43" i="7"/>
  <c r="L46" i="7"/>
  <c r="L17" i="7"/>
  <c r="L63" i="7"/>
  <c r="L66" i="7"/>
  <c r="L44" i="7"/>
  <c r="L49" i="7"/>
  <c r="L28" i="7"/>
  <c r="L60" i="7"/>
  <c r="L20" i="7"/>
  <c r="L15" i="7"/>
  <c r="L64" i="7"/>
  <c r="L36" i="7"/>
  <c r="L47" i="7"/>
  <c r="L29" i="7"/>
  <c r="L45" i="7"/>
  <c r="L61" i="7"/>
  <c r="L50" i="7"/>
  <c r="L52" i="7"/>
  <c r="L18" i="7"/>
  <c r="L34" i="7"/>
  <c r="L32" i="7"/>
  <c r="L48" i="7"/>
  <c r="L69" i="7"/>
  <c r="L27" i="7"/>
  <c r="L25" i="7"/>
  <c r="L23" i="7"/>
  <c r="L31" i="7"/>
  <c r="L33" i="7"/>
  <c r="L35" i="7"/>
  <c r="L37" i="7"/>
  <c r="L39" i="7"/>
  <c r="L53" i="7"/>
  <c r="L55" i="7"/>
  <c r="L72" i="7"/>
  <c r="L26" i="7"/>
  <c r="L41" i="7"/>
  <c r="L40" i="7"/>
  <c r="L42" i="7"/>
  <c r="L79" i="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Mei</author>
  </authors>
  <commentList>
    <comment ref="B12" authorId="0" shapeId="0" xr:uid="{7C4C716A-EA13-44BC-8034-77DC85625F52}">
      <text>
        <r>
          <rPr>
            <b/>
            <sz val="9"/>
            <color indexed="81"/>
            <rFont val="Tahoma"/>
            <family val="2"/>
          </rPr>
          <t>Peter Mei:</t>
        </r>
        <r>
          <rPr>
            <sz val="9"/>
            <color indexed="81"/>
            <rFont val="Tahoma"/>
            <family val="2"/>
          </rPr>
          <t xml:space="preserve">
State of departure</t>
        </r>
      </text>
    </comment>
    <comment ref="C12" authorId="0" shapeId="0" xr:uid="{CE0692AC-569A-44E2-A85D-D3215FFE0AEA}">
      <text>
        <r>
          <rPr>
            <b/>
            <sz val="9"/>
            <color indexed="81"/>
            <rFont val="Tahoma"/>
            <family val="2"/>
          </rPr>
          <t>Peter Mei:</t>
        </r>
        <r>
          <rPr>
            <sz val="9"/>
            <color indexed="81"/>
            <rFont val="Tahoma"/>
            <family val="2"/>
          </rPr>
          <t xml:space="preserve">
State of arrival</t>
        </r>
      </text>
    </comment>
    <comment ref="E12" authorId="0" shapeId="0" xr:uid="{AA6EC671-F3EE-42CB-AD66-3939981558AE}">
      <text>
        <r>
          <rPr>
            <b/>
            <sz val="9"/>
            <color indexed="81"/>
            <rFont val="Tahoma"/>
            <family val="2"/>
          </rPr>
          <t>Peter Mei:</t>
        </r>
        <r>
          <rPr>
            <sz val="9"/>
            <color indexed="81"/>
            <rFont val="Tahoma"/>
            <family val="2"/>
          </rPr>
          <t xml:space="preserve">
Toll fee calculated on truck carrying capacity</t>
        </r>
      </text>
    </comment>
    <comment ref="F12" authorId="0" shapeId="0" xr:uid="{6383DAF7-E7DC-471A-9D95-41F9F3EF5500}">
      <text>
        <r>
          <rPr>
            <b/>
            <sz val="9"/>
            <color indexed="81"/>
            <rFont val="Tahoma"/>
            <family val="2"/>
          </rPr>
          <t>Peter Mei:</t>
        </r>
        <r>
          <rPr>
            <sz val="9"/>
            <color indexed="81"/>
            <rFont val="Tahoma"/>
            <family val="2"/>
          </rPr>
          <t xml:space="preserve">
Toll fee calculated on truck class</t>
        </r>
      </text>
    </comment>
    <comment ref="H12" authorId="0" shapeId="0" xr:uid="{41459F76-890C-4EA2-A0EE-F390632BE69A}">
      <text>
        <r>
          <rPr>
            <b/>
            <sz val="9"/>
            <color indexed="81"/>
            <rFont val="Tahoma"/>
            <family val="2"/>
          </rPr>
          <t>Peter Mei:</t>
        </r>
        <r>
          <rPr>
            <sz val="9"/>
            <color indexed="81"/>
            <rFont val="Tahoma"/>
            <family val="2"/>
          </rPr>
          <t xml:space="preserve">
1 means the route is chosen. 0 means the route is not chosen</t>
        </r>
      </text>
    </comment>
    <comment ref="O13" authorId="0" shapeId="0" xr:uid="{0F466327-95AB-47A3-A482-D2EB0370F139}">
      <text>
        <r>
          <rPr>
            <b/>
            <sz val="9"/>
            <color indexed="81"/>
            <rFont val="Tahoma"/>
            <family val="2"/>
          </rPr>
          <t>Peter Mei:</t>
        </r>
        <r>
          <rPr>
            <sz val="9"/>
            <color indexed="81"/>
            <rFont val="Tahoma"/>
            <family val="2"/>
          </rPr>
          <t xml:space="preserve">
1 represents truck leaving the corresponding state.</t>
        </r>
      </text>
    </comment>
    <comment ref="P13" authorId="0" shapeId="0" xr:uid="{ABA35D45-888D-46D1-920F-B9111F08E4E7}">
      <text>
        <r>
          <rPr>
            <b/>
            <sz val="9"/>
            <color indexed="81"/>
            <rFont val="Tahoma"/>
            <family val="2"/>
          </rPr>
          <t>Peter Mei:</t>
        </r>
        <r>
          <rPr>
            <sz val="9"/>
            <color indexed="81"/>
            <rFont val="Tahoma"/>
            <family val="2"/>
          </rPr>
          <t xml:space="preserve">
1 represents truck entering the corresponding state.</t>
        </r>
      </text>
    </comment>
    <comment ref="Q13" authorId="0" shapeId="0" xr:uid="{46DABF70-28D6-4895-81B8-4020FFEEA4A6}">
      <text>
        <r>
          <rPr>
            <b/>
            <sz val="9"/>
            <color indexed="81"/>
            <rFont val="Tahoma"/>
            <family val="2"/>
          </rPr>
          <t>Peter Mei:</t>
        </r>
        <r>
          <rPr>
            <sz val="9"/>
            <color indexed="81"/>
            <rFont val="Tahoma"/>
            <family val="2"/>
          </rPr>
          <t xml:space="preserve">
Outflow - Inflow</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Mei</author>
  </authors>
  <commentList>
    <comment ref="C1" authorId="0" shapeId="0" xr:uid="{0694B296-FC60-44AF-A152-C9AAF28C1C68}">
      <text>
        <r>
          <rPr>
            <b/>
            <sz val="9"/>
            <color indexed="81"/>
            <rFont val="Tahoma"/>
            <family val="2"/>
          </rPr>
          <t>Peter Mei:</t>
        </r>
        <r>
          <rPr>
            <sz val="9"/>
            <color indexed="81"/>
            <rFont val="Tahoma"/>
            <family val="2"/>
          </rPr>
          <t xml:space="preserve">
Distance (km) extracted via Google API in Python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5D2BBF3-C4EE-400F-8858-4613C76D4F6C}" keepAlive="1" name="Query - USA Diesel prices, 12-Dec-2022" description="Connection to the 'USA Diesel prices, 12-Dec-2022' query in the workbook." type="5" refreshedVersion="8" background="1" saveData="1">
    <dbPr connection="Provider=Microsoft.Mashup.OleDb.1;Data Source=$Workbook$;Location=&quot;USA Diesel prices, 12-Dec-2022&quot;;Extended Properties=&quot;&quot;" command="SELECT * FROM [USA Diesel prices, 12-Dec-2022]"/>
  </connection>
</connections>
</file>

<file path=xl/sharedStrings.xml><?xml version="1.0" encoding="utf-8"?>
<sst xmlns="http://schemas.openxmlformats.org/spreadsheetml/2006/main" count="383" uniqueCount="62">
  <si>
    <t>Start</t>
  </si>
  <si>
    <t>End</t>
  </si>
  <si>
    <t>Distance</t>
  </si>
  <si>
    <t>California</t>
  </si>
  <si>
    <t>Colorado</t>
  </si>
  <si>
    <t>Nevada</t>
  </si>
  <si>
    <t>New Mexico</t>
  </si>
  <si>
    <t>Utah</t>
  </si>
  <si>
    <t>Arizona</t>
  </si>
  <si>
    <t>Oregon</t>
  </si>
  <si>
    <t>Oklahoma</t>
  </si>
  <si>
    <t>Texas</t>
  </si>
  <si>
    <t>Kansas</t>
  </si>
  <si>
    <t>Nebraska</t>
  </si>
  <si>
    <t>Wyoming</t>
  </si>
  <si>
    <t>DVs</t>
  </si>
  <si>
    <t>Inflow</t>
  </si>
  <si>
    <t>Outflow</t>
  </si>
  <si>
    <t>Netflow</t>
  </si>
  <si>
    <t>=</t>
  </si>
  <si>
    <t>Constraint: Netflow</t>
  </si>
  <si>
    <t>Total borders crossed</t>
  </si>
  <si>
    <t>Distance (km)</t>
  </si>
  <si>
    <t>Truck Delivery Case</t>
  </si>
  <si>
    <t>Truck type</t>
  </si>
  <si>
    <t>Class 1</t>
  </si>
  <si>
    <t>Class 2</t>
  </si>
  <si>
    <t>Class 3</t>
  </si>
  <si>
    <t>Class 4</t>
  </si>
  <si>
    <t>Class 5</t>
  </si>
  <si>
    <t>Class 6</t>
  </si>
  <si>
    <t>Dimension (m^3)</t>
  </si>
  <si>
    <t>Entering state</t>
  </si>
  <si>
    <t>South Dakota</t>
  </si>
  <si>
    <t>Idaho</t>
  </si>
  <si>
    <t>North Dakota</t>
  </si>
  <si>
    <t>Montana</t>
  </si>
  <si>
    <t>Washington</t>
  </si>
  <si>
    <t>Fixed toll by class</t>
  </si>
  <si>
    <t>Diesel consumption liters/km</t>
  </si>
  <si>
    <t>Fuel cost/km ($)</t>
  </si>
  <si>
    <t>Fuel cost ($)</t>
  </si>
  <si>
    <t>Constraint: Class 1-3 need to pass 1 equipment check facility. Class 4-6 need to pass 2 equipment check facilities (Nebraska, Utah, Nevada, Montana, North Dakota)</t>
  </si>
  <si>
    <t>Carrying capacity (kg)</t>
  </si>
  <si>
    <t>Toll fee/kg</t>
  </si>
  <si>
    <t>Cost on carrying capacity ($)</t>
  </si>
  <si>
    <t>Cost on truck class ($)</t>
  </si>
  <si>
    <t>Total distance traveled</t>
  </si>
  <si>
    <t>Objective: Minimizae total cost</t>
  </si>
  <si>
    <t>Equipment check facility</t>
  </si>
  <si>
    <t>Min Cost Flow Optimization Model</t>
  </si>
  <si>
    <t>USA Diesel prices</t>
  </si>
  <si>
    <t>Litre</t>
  </si>
  <si>
    <t>Gallon</t>
  </si>
  <si>
    <t>USD</t>
  </si>
  <si>
    <t>EUR</t>
  </si>
  <si>
    <t>This route passes through the equipment check-up facilities marked with 1</t>
  </si>
  <si>
    <t>Check-up facility count</t>
  </si>
  <si>
    <r>
      <t xml:space="preserve">*Optimal route highligthed in </t>
    </r>
    <r>
      <rPr>
        <b/>
        <i/>
        <sz val="14"/>
        <color theme="9" tint="-0.249977111117893"/>
        <rFont val="Calibri"/>
        <family val="2"/>
        <scheme val="minor"/>
      </rPr>
      <t>GREEN</t>
    </r>
  </si>
  <si>
    <r>
      <rPr>
        <b/>
        <sz val="12"/>
        <color theme="1"/>
        <rFont val="Calibri"/>
        <family val="2"/>
        <scheme val="minor"/>
      </rPr>
      <t xml:space="preserve">
Business Context</t>
    </r>
    <r>
      <rPr>
        <sz val="11"/>
        <color theme="1"/>
        <rFont val="Calibri"/>
        <family val="2"/>
        <scheme val="minor"/>
      </rPr>
      <t xml:space="preserve">
We are a logistics company that aims to deliver goods from Texas to Washington through using various truck types/classes. Our route paths are limited to states within the </t>
    </r>
    <r>
      <rPr>
        <b/>
        <sz val="11"/>
        <color rgb="FF0070C0"/>
        <rFont val="Calibri"/>
        <family val="2"/>
        <scheme val="minor"/>
      </rPr>
      <t>Blue Region</t>
    </r>
    <r>
      <rPr>
        <sz val="11"/>
        <color theme="1"/>
        <rFont val="Calibri"/>
        <family val="2"/>
        <scheme val="minor"/>
      </rPr>
      <t xml:space="preserve"> depicted in the map bottom right. We have 6 different truck classes with varying weight capacities and fuel consumption rates. Our goal is to determine the optimal path with minimal cost for each truck class subject to constraints. (Netflow and truck equipment check-up facilities). 
</t>
    </r>
    <r>
      <rPr>
        <b/>
        <sz val="12"/>
        <color theme="1"/>
        <rFont val="Calibri"/>
        <family val="2"/>
        <scheme val="minor"/>
      </rPr>
      <t>Model Description</t>
    </r>
    <r>
      <rPr>
        <sz val="11"/>
        <color theme="1"/>
        <rFont val="Calibri"/>
        <family val="2"/>
        <scheme val="minor"/>
      </rPr>
      <t xml:space="preserve">
The optimization model can be found in the sheet labeled </t>
    </r>
    <r>
      <rPr>
        <b/>
        <sz val="11"/>
        <color theme="1"/>
        <rFont val="Calibri"/>
        <family val="2"/>
        <scheme val="minor"/>
      </rPr>
      <t xml:space="preserve">"Medium_model". </t>
    </r>
    <r>
      <rPr>
        <sz val="11"/>
        <color theme="1"/>
        <rFont val="Calibri"/>
        <family val="2"/>
        <scheme val="minor"/>
      </rPr>
      <t xml:space="preserve">Real distance between each state can be found in the sheet </t>
    </r>
    <r>
      <rPr>
        <b/>
        <sz val="11"/>
        <color theme="1"/>
        <rFont val="Calibri"/>
        <family val="2"/>
        <scheme val="minor"/>
      </rPr>
      <t>"Medium_modeldata"</t>
    </r>
    <r>
      <rPr>
        <sz val="11"/>
        <color theme="1"/>
        <rFont val="Calibri"/>
        <family val="2"/>
        <scheme val="minor"/>
      </rPr>
      <t xml:space="preserve"> which was extracted from Google Map API using Python. Start and end destination represents each possible nodes (US states) that can be traveled to or traveled from. Each start and end destinations are contiguous states meaning they need share the same state border. 
</t>
    </r>
    <r>
      <rPr>
        <b/>
        <sz val="12"/>
        <color theme="1"/>
        <rFont val="Calibri"/>
        <family val="2"/>
        <scheme val="minor"/>
      </rPr>
      <t>MILP Model Set Up</t>
    </r>
    <r>
      <rPr>
        <sz val="11"/>
        <color theme="1"/>
        <rFont val="Calibri"/>
        <family val="2"/>
        <scheme val="minor"/>
      </rPr>
      <t xml:space="preserve">
</t>
    </r>
    <r>
      <rPr>
        <u/>
        <sz val="11"/>
        <color theme="1"/>
        <rFont val="Calibri"/>
        <family val="2"/>
        <scheme val="minor"/>
      </rPr>
      <t>Objective</t>
    </r>
    <r>
      <rPr>
        <sz val="11"/>
        <color theme="1"/>
        <rFont val="Calibri"/>
        <family val="2"/>
        <scheme val="minor"/>
      </rPr>
      <t xml:space="preserve"> - Minimize total cost
</t>
    </r>
    <r>
      <rPr>
        <u/>
        <sz val="11"/>
        <color theme="1"/>
        <rFont val="Calibri"/>
        <family val="2"/>
        <scheme val="minor"/>
      </rPr>
      <t>Decision variables</t>
    </r>
    <r>
      <rPr>
        <sz val="11"/>
        <color theme="1"/>
        <rFont val="Calibri"/>
        <family val="2"/>
        <scheme val="minor"/>
      </rPr>
      <t xml:space="preserve"> - Binary variables for each state-to-state distance. 1 represents route is chosen, 0 represents the route is not chosen.
</t>
    </r>
    <r>
      <rPr>
        <u/>
        <sz val="11"/>
        <color theme="1"/>
        <rFont val="Calibri"/>
        <family val="2"/>
        <scheme val="minor"/>
      </rPr>
      <t>Constraints</t>
    </r>
    <r>
      <rPr>
        <sz val="11"/>
        <color theme="1"/>
        <rFont val="Calibri"/>
        <family val="2"/>
        <scheme val="minor"/>
      </rPr>
      <t xml:space="preserve">
1. Texas netflow = 1, Washington netflow = -1, Other states netflow = 0
2. Trucks in classes 1-3 need to pass exactly 1 equipment check-up facility
Trucks in classes 4-6 need to pass exactly 2 of those facilities
</t>
    </r>
    <r>
      <rPr>
        <sz val="9"/>
        <color theme="1"/>
        <rFont val="Calibri"/>
        <family val="2"/>
        <scheme val="minor"/>
      </rPr>
      <t>●</t>
    </r>
    <r>
      <rPr>
        <sz val="8"/>
        <color theme="1"/>
        <rFont val="Calibri"/>
        <family val="2"/>
        <scheme val="minor"/>
      </rPr>
      <t xml:space="preserve"> </t>
    </r>
    <r>
      <rPr>
        <sz val="11"/>
        <color theme="1"/>
        <rFont val="Calibri"/>
        <family val="2"/>
        <scheme val="minor"/>
      </rPr>
      <t xml:space="preserve">Toll costs vary across states and truck classes. For each state, there will be a toll cost exercised on a truck’s carrying weight (kg) plus a fixed toll cost collected based on a truck’s class
</t>
    </r>
    <r>
      <rPr>
        <sz val="9"/>
        <color theme="1"/>
        <rFont val="Calibri"/>
        <family val="2"/>
        <scheme val="minor"/>
      </rPr>
      <t>●</t>
    </r>
    <r>
      <rPr>
        <sz val="8"/>
        <color theme="1"/>
        <rFont val="Calibri"/>
        <family val="2"/>
        <scheme val="minor"/>
      </rPr>
      <t xml:space="preserve"> </t>
    </r>
    <r>
      <rPr>
        <sz val="11"/>
        <color theme="1"/>
        <rFont val="Calibri"/>
        <family val="2"/>
        <scheme val="minor"/>
      </rPr>
      <t xml:space="preserve">Fuel cost is calculated using average real-time diesel price and distance traveled. The refresh button found in excel sheet ‘USA Diesel prices’ allows for latest price updates
</t>
    </r>
    <r>
      <rPr>
        <sz val="9"/>
        <color theme="1"/>
        <rFont val="Calibri"/>
        <family val="2"/>
        <scheme val="minor"/>
      </rPr>
      <t>●</t>
    </r>
    <r>
      <rPr>
        <sz val="8"/>
        <color theme="1"/>
        <rFont val="Calibri"/>
        <family val="2"/>
        <scheme val="minor"/>
      </rPr>
      <t xml:space="preserve"> </t>
    </r>
    <r>
      <rPr>
        <sz val="11"/>
        <color theme="1"/>
        <rFont val="Calibri"/>
        <family val="2"/>
        <scheme val="minor"/>
      </rPr>
      <t xml:space="preserve">Objective calculation break-down:
 </t>
    </r>
    <r>
      <rPr>
        <i/>
        <sz val="11"/>
        <color theme="1"/>
        <rFont val="Calibri"/>
        <family val="2"/>
        <scheme val="minor"/>
      </rPr>
      <t xml:space="preserve">   Total cost = Total toll fee + Total fuel cost
    Total toll fee = Fixed toll fee by class + (Toll fee/ kg * Carrying capacity in kg)
    Total fuel cost = Fuel cost/ km * Distance traveled in km
</t>
    </r>
    <r>
      <rPr>
        <sz val="9"/>
        <color theme="1"/>
        <rFont val="Calibri"/>
        <family val="2"/>
        <scheme val="minor"/>
      </rPr>
      <t>●</t>
    </r>
    <r>
      <rPr>
        <sz val="11"/>
        <color theme="1"/>
        <rFont val="Calibri"/>
        <family val="2"/>
        <scheme val="minor"/>
      </rPr>
      <t xml:space="preserve"> There are a total of 5 equipment check-up facilities in state Nebraska, Utah, Nevada, North Dakota and Montana. It is required for trucks, depending on truck class, to pass through 1 or 2 of these states for vehicle diagnosis and check up before arriving destination
</t>
    </r>
  </si>
  <si>
    <t>&lt;-- Select truck type here then use Solver to generate optimal route</t>
  </si>
  <si>
    <t>https://www.globalpetrolprices.com/USA/diesel_prices/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</si>
</sst>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quot;$&quot;#,##0.000"/>
  </numFmts>
  <fonts count="17"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sz val="9"/>
      <color indexed="81"/>
      <name val="Tahoma"/>
      <family val="2"/>
    </font>
    <font>
      <b/>
      <sz val="9"/>
      <color indexed="81"/>
      <name val="Tahoma"/>
      <family val="2"/>
    </font>
    <font>
      <b/>
      <sz val="24"/>
      <color theme="1"/>
      <name val="Calibri"/>
      <family val="2"/>
      <scheme val="minor"/>
    </font>
    <font>
      <sz val="18"/>
      <color theme="1"/>
      <name val="Calibri"/>
      <family val="2"/>
      <scheme val="minor"/>
    </font>
    <font>
      <b/>
      <sz val="12"/>
      <color theme="1"/>
      <name val="Calibri"/>
      <family val="2"/>
      <scheme val="minor"/>
    </font>
    <font>
      <u/>
      <sz val="11"/>
      <color theme="1"/>
      <name val="Calibri"/>
      <family val="2"/>
      <scheme val="minor"/>
    </font>
    <font>
      <sz val="9"/>
      <color theme="1"/>
      <name val="Calibri"/>
      <family val="2"/>
      <scheme val="minor"/>
    </font>
    <font>
      <sz val="8"/>
      <color theme="1"/>
      <name val="Calibri"/>
      <family val="2"/>
      <scheme val="minor"/>
    </font>
    <font>
      <i/>
      <sz val="11"/>
      <color theme="1"/>
      <name val="Calibri"/>
      <family val="2"/>
      <scheme val="minor"/>
    </font>
    <font>
      <b/>
      <i/>
      <sz val="14"/>
      <color theme="1"/>
      <name val="Calibri"/>
      <family val="2"/>
      <scheme val="minor"/>
    </font>
    <font>
      <b/>
      <i/>
      <sz val="14"/>
      <color theme="9" tint="-0.249977111117893"/>
      <name val="Calibri"/>
      <family val="2"/>
      <scheme val="minor"/>
    </font>
    <font>
      <b/>
      <sz val="11"/>
      <color rgb="FF0070C0"/>
      <name val="Calibri"/>
      <family val="2"/>
      <scheme val="minor"/>
    </font>
    <font>
      <u/>
      <sz val="11"/>
      <color theme="10"/>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rgb="FFFF99FF"/>
        <bgColor indexed="64"/>
      </patternFill>
    </fill>
    <fill>
      <patternFill patternType="solid">
        <fgColor theme="0"/>
        <bgColor indexed="64"/>
      </patternFill>
    </fill>
    <fill>
      <patternFill patternType="solid">
        <fgColor rgb="FFFFC000"/>
        <bgColor indexed="64"/>
      </patternFill>
    </fill>
    <fill>
      <patternFill patternType="solid">
        <fgColor theme="0" tint="-4.9989318521683403E-2"/>
        <bgColor indexed="64"/>
      </patternFill>
    </fill>
  </fills>
  <borders count="14">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16" fillId="0" borderId="0" applyNumberFormat="0" applyFill="0" applyBorder="0" applyAlignment="0" applyProtection="0"/>
  </cellStyleXfs>
  <cellXfs count="55">
    <xf numFmtId="0" fontId="0" fillId="0" borderId="0" xfId="0"/>
    <xf numFmtId="164" fontId="0" fillId="0" borderId="0" xfId="0" applyNumberFormat="1"/>
    <xf numFmtId="0" fontId="0" fillId="3" borderId="0" xfId="0" applyFill="1"/>
    <xf numFmtId="0" fontId="1" fillId="0" borderId="0" xfId="0" applyFont="1"/>
    <xf numFmtId="0" fontId="1" fillId="0" borderId="0" xfId="0" applyFont="1" applyAlignment="1">
      <alignment horizontal="right"/>
    </xf>
    <xf numFmtId="0" fontId="0" fillId="0" borderId="1" xfId="0" applyBorder="1"/>
    <xf numFmtId="1" fontId="0" fillId="0" borderId="0" xfId="0" applyNumberFormat="1"/>
    <xf numFmtId="0" fontId="0" fillId="0" borderId="4" xfId="0" applyBorder="1"/>
    <xf numFmtId="0" fontId="0" fillId="0" borderId="5" xfId="0" applyBorder="1"/>
    <xf numFmtId="0" fontId="0" fillId="0" borderId="6" xfId="0" applyBorder="1"/>
    <xf numFmtId="0" fontId="0" fillId="0" borderId="7" xfId="0" applyBorder="1"/>
    <xf numFmtId="0" fontId="0" fillId="0" borderId="9" xfId="0" applyBorder="1"/>
    <xf numFmtId="0" fontId="0" fillId="0" borderId="8" xfId="0" applyBorder="1"/>
    <xf numFmtId="0" fontId="0" fillId="3" borderId="1" xfId="0" applyFill="1" applyBorder="1"/>
    <xf numFmtId="0" fontId="0" fillId="5" borderId="0" xfId="0" applyFill="1"/>
    <xf numFmtId="0" fontId="0" fillId="5" borderId="1" xfId="0" applyFill="1" applyBorder="1"/>
    <xf numFmtId="0" fontId="0" fillId="0" borderId="3" xfId="0" applyBorder="1"/>
    <xf numFmtId="2" fontId="0" fillId="0" borderId="0" xfId="0" applyNumberFormat="1"/>
    <xf numFmtId="0" fontId="0" fillId="0" borderId="10" xfId="0" applyBorder="1"/>
    <xf numFmtId="0" fontId="2" fillId="3" borderId="0" xfId="0" applyFont="1" applyFill="1"/>
    <xf numFmtId="0" fontId="6" fillId="5" borderId="0" xfId="0" applyFont="1" applyFill="1"/>
    <xf numFmtId="0" fontId="7" fillId="5" borderId="1" xfId="0" applyFont="1" applyFill="1" applyBorder="1"/>
    <xf numFmtId="165" fontId="0" fillId="2" borderId="2" xfId="0" applyNumberFormat="1" applyFill="1" applyBorder="1"/>
    <xf numFmtId="0" fontId="0" fillId="3" borderId="9" xfId="0" applyFill="1" applyBorder="1"/>
    <xf numFmtId="0" fontId="0" fillId="7" borderId="3" xfId="0" applyFill="1" applyBorder="1"/>
    <xf numFmtId="0" fontId="0" fillId="7" borderId="5" xfId="0" applyFill="1" applyBorder="1"/>
    <xf numFmtId="0" fontId="0" fillId="7" borderId="6" xfId="0" applyFill="1" applyBorder="1"/>
    <xf numFmtId="0" fontId="0" fillId="7" borderId="7" xfId="0" applyFill="1" applyBorder="1"/>
    <xf numFmtId="0" fontId="0" fillId="7" borderId="8" xfId="0" applyFill="1" applyBorder="1"/>
    <xf numFmtId="0" fontId="0" fillId="7" borderId="9" xfId="0" applyFill="1" applyBorder="1"/>
    <xf numFmtId="0" fontId="0" fillId="0" borderId="3" xfId="0" applyBorder="1" applyAlignment="1">
      <alignment horizontal="right"/>
    </xf>
    <xf numFmtId="0" fontId="1" fillId="0" borderId="4" xfId="0" applyFont="1" applyBorder="1"/>
    <xf numFmtId="0" fontId="0" fillId="0" borderId="6" xfId="0" applyBorder="1" applyAlignment="1">
      <alignment horizontal="right"/>
    </xf>
    <xf numFmtId="0" fontId="0" fillId="0" borderId="8" xfId="0" applyBorder="1" applyAlignment="1">
      <alignment horizontal="right"/>
    </xf>
    <xf numFmtId="0" fontId="1" fillId="0" borderId="3" xfId="0" applyFont="1" applyBorder="1"/>
    <xf numFmtId="0" fontId="1" fillId="0" borderId="5" xfId="0" applyFont="1" applyBorder="1"/>
    <xf numFmtId="1" fontId="0" fillId="0" borderId="7" xfId="0" applyNumberFormat="1" applyBorder="1"/>
    <xf numFmtId="1" fontId="0" fillId="0" borderId="9" xfId="0" applyNumberFormat="1" applyBorder="1"/>
    <xf numFmtId="0" fontId="1" fillId="0" borderId="11" xfId="0" applyFont="1" applyBorder="1"/>
    <xf numFmtId="0" fontId="0" fillId="4" borderId="12" xfId="0" applyFill="1" applyBorder="1"/>
    <xf numFmtId="0" fontId="0" fillId="4" borderId="13" xfId="0" applyFill="1" applyBorder="1"/>
    <xf numFmtId="0" fontId="0" fillId="3" borderId="7" xfId="0" applyFill="1" applyBorder="1"/>
    <xf numFmtId="164" fontId="0" fillId="3" borderId="12" xfId="0" applyNumberFormat="1" applyFill="1" applyBorder="1"/>
    <xf numFmtId="164" fontId="0" fillId="3" borderId="13" xfId="0" applyNumberFormat="1" applyFill="1" applyBorder="1"/>
    <xf numFmtId="0" fontId="0" fillId="0" borderId="12" xfId="0" applyBorder="1"/>
    <xf numFmtId="0" fontId="0" fillId="0" borderId="13" xfId="0" applyBorder="1"/>
    <xf numFmtId="164" fontId="0" fillId="0" borderId="12" xfId="0" applyNumberFormat="1" applyBorder="1"/>
    <xf numFmtId="164" fontId="0" fillId="0" borderId="13" xfId="0" applyNumberFormat="1" applyBorder="1"/>
    <xf numFmtId="0" fontId="0" fillId="6" borderId="4" xfId="0" applyFill="1" applyBorder="1" applyAlignment="1">
      <alignment horizontal="right"/>
    </xf>
    <xf numFmtId="0" fontId="6" fillId="5" borderId="1" xfId="0" applyFont="1" applyFill="1" applyBorder="1" applyAlignment="1">
      <alignment horizontal="left"/>
    </xf>
    <xf numFmtId="0" fontId="0" fillId="0" borderId="0" xfId="0" applyAlignment="1">
      <alignment horizontal="left" vertical="top" wrapText="1"/>
    </xf>
    <xf numFmtId="0" fontId="1" fillId="0" borderId="0" xfId="0" applyFont="1" applyAlignment="1">
      <alignment horizontal="left" vertical="top" wrapText="1"/>
    </xf>
    <xf numFmtId="0" fontId="1" fillId="0" borderId="0" xfId="0" applyFont="1" applyAlignment="1">
      <alignment horizontal="left" wrapText="1"/>
    </xf>
    <xf numFmtId="0" fontId="13" fillId="0" borderId="0" xfId="0" applyFont="1" applyAlignment="1">
      <alignment horizontal="center"/>
    </xf>
    <xf numFmtId="0" fontId="16" fillId="0" borderId="0" xfId="1"/>
  </cellXfs>
  <cellStyles count="2">
    <cellStyle name="Hyperlink" xfId="1" builtinId="8"/>
    <cellStyle name="Normal" xfId="0" builtinId="0"/>
  </cellStyles>
  <dxfs count="4">
    <dxf>
      <fill>
        <patternFill>
          <bgColor theme="9" tint="0.59996337778862885"/>
        </patternFill>
      </fill>
    </dxf>
    <dxf>
      <fill>
        <patternFill>
          <bgColor theme="9" tint="0.59996337778862885"/>
        </patternFill>
      </fill>
    </dxf>
    <dxf>
      <fill>
        <patternFill>
          <bgColor theme="9" tint="0.59996337778862885"/>
        </patternFill>
      </fill>
    </dxf>
    <dxf>
      <numFmt numFmtId="0" formatCode="General"/>
    </dxf>
  </dxfs>
  <tableStyles count="0" defaultTableStyle="TableStyleMedium2" defaultPivotStyle="PivotStyleLight16"/>
  <colors>
    <mruColors>
      <color rgb="FFFF99FF"/>
      <color rgb="FF66FF99"/>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10</xdr:col>
      <xdr:colOff>103631</xdr:colOff>
      <xdr:row>3</xdr:row>
      <xdr:rowOff>22129</xdr:rowOff>
    </xdr:from>
    <xdr:to>
      <xdr:col>17</xdr:col>
      <xdr:colOff>330123</xdr:colOff>
      <xdr:row>18</xdr:row>
      <xdr:rowOff>35746</xdr:rowOff>
    </xdr:to>
    <xdr:pic>
      <xdr:nvPicPr>
        <xdr:cNvPr id="3" name="Picture 2">
          <a:extLst>
            <a:ext uri="{FF2B5EF4-FFF2-40B4-BE49-F238E27FC236}">
              <a16:creationId xmlns:a16="http://schemas.microsoft.com/office/drawing/2014/main" id="{0FF9B319-008A-0611-FEBA-F212A26EB4B1}"/>
            </a:ext>
          </a:extLst>
        </xdr:cNvPr>
        <xdr:cNvPicPr>
          <a:picLocks noChangeAspect="1"/>
        </xdr:cNvPicPr>
      </xdr:nvPicPr>
      <xdr:blipFill>
        <a:blip xmlns:r="http://schemas.openxmlformats.org/officeDocument/2006/relationships" r:embed="rId1"/>
        <a:stretch>
          <a:fillRect/>
        </a:stretch>
      </xdr:blipFill>
      <xdr:spPr>
        <a:xfrm>
          <a:off x="6575746" y="748716"/>
          <a:ext cx="4756973" cy="276121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61912</xdr:colOff>
      <xdr:row>0</xdr:row>
      <xdr:rowOff>61913</xdr:rowOff>
    </xdr:from>
    <xdr:to>
      <xdr:col>8</xdr:col>
      <xdr:colOff>423863</xdr:colOff>
      <xdr:row>3</xdr:row>
      <xdr:rowOff>9525</xdr:rowOff>
    </xdr:to>
    <xdr:sp macro="" textlink="">
      <xdr:nvSpPr>
        <xdr:cNvPr id="2" name="TextBox 1">
          <a:extLst>
            <a:ext uri="{FF2B5EF4-FFF2-40B4-BE49-F238E27FC236}">
              <a16:creationId xmlns:a16="http://schemas.microsoft.com/office/drawing/2014/main" id="{9852190C-B603-BDEF-31E3-61F939123C10}"/>
            </a:ext>
          </a:extLst>
        </xdr:cNvPr>
        <xdr:cNvSpPr txBox="1"/>
      </xdr:nvSpPr>
      <xdr:spPr>
        <a:xfrm>
          <a:off x="2976562" y="61913"/>
          <a:ext cx="2952751" cy="490537"/>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USA average</a:t>
          </a:r>
          <a:r>
            <a:rPr lang="en-US" sz="1100" baseline="0"/>
            <a:t> diesel price updates every 7 days. Click the refresh icon to view the lastest prices</a:t>
          </a:r>
          <a:endParaRPr lang="en-US" sz="1100"/>
        </a:p>
      </xdr:txBody>
    </xdr:sp>
    <xdr:clientData/>
  </xdr:twoCellAnchor>
  <xdr:twoCellAnchor editAs="oneCell">
    <xdr:from>
      <xdr:col>3</xdr:col>
      <xdr:colOff>90488</xdr:colOff>
      <xdr:row>0</xdr:row>
      <xdr:rowOff>47625</xdr:rowOff>
    </xdr:from>
    <xdr:to>
      <xdr:col>3</xdr:col>
      <xdr:colOff>571501</xdr:colOff>
      <xdr:row>2</xdr:row>
      <xdr:rowOff>166688</xdr:rowOff>
    </xdr:to>
    <xdr:pic macro="[0]!refresh_diesel_prices">
      <xdr:nvPicPr>
        <xdr:cNvPr id="4" name="Graphic 3" descr="Repeat with solid fill">
          <a:extLst>
            <a:ext uri="{FF2B5EF4-FFF2-40B4-BE49-F238E27FC236}">
              <a16:creationId xmlns:a16="http://schemas.microsoft.com/office/drawing/2014/main" id="{44E77E6F-0D35-5A80-C4BE-9A8F8D15790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357438" y="47625"/>
          <a:ext cx="481013" cy="481013"/>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B70DC94-F613-44B1-A598-027AE8B41A45}" autoFormatId="16" applyNumberFormats="0" applyBorderFormats="0" applyFontFormats="0" applyPatternFormats="0" applyAlignmentFormats="0" applyWidthHeightFormats="0">
  <queryTableRefresh nextId="4">
    <queryTableFields count="3">
      <queryTableField id="1" name="USA Diesel prices" tableColumnId="1"/>
      <queryTableField id="2" name="Litre" tableColumnId="2"/>
      <queryTableField id="3" name="Gallon"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822D1E3-9622-4904-82E2-C25FC9B28FEA}" name="USA_Diesel_prices__12_Dec_2022" displayName="USA_Diesel_prices__12_Dec_2022" ref="A1:C3" tableType="queryTable" totalsRowShown="0">
  <autoFilter ref="A1:C3" xr:uid="{D822D1E3-9622-4904-82E2-C25FC9B28FEA}"/>
  <tableColumns count="3">
    <tableColumn id="1" xr3:uid="{BC3DB120-56D7-4DDA-A2E2-8CFB9172F7BE}" uniqueName="1" name="USA Diesel prices" queryTableFieldId="1" dataDxfId="3"/>
    <tableColumn id="2" xr3:uid="{9E9E3999-A1ED-4960-A38D-2EE66DD662FA}" uniqueName="2" name="Litre" queryTableFieldId="2"/>
    <tableColumn id="3" xr3:uid="{B81C62FC-A137-4878-9A52-A03ABEE665A9}" uniqueName="3" name="Gallon"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hyperlink" Target="https://www.globalpetrolprices.com/USA/diesel_prices/" TargetMode="Externa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0A786-9D4E-424A-A59C-3380412BA896}">
  <sheetPr codeName="Sheet1"/>
  <dimension ref="B1:J43"/>
  <sheetViews>
    <sheetView showGridLines="0" topLeftCell="D1" zoomScale="109" zoomScaleNormal="109" workbookViewId="0">
      <selection activeCell="S9" sqref="S9"/>
    </sheetView>
  </sheetViews>
  <sheetFormatPr defaultRowHeight="14.25" x14ac:dyDescent="0.45"/>
  <sheetData>
    <row r="1" spans="2:10" s="14" customFormat="1" ht="11.65" customHeight="1" x14ac:dyDescent="0.45"/>
    <row r="2" spans="2:10" s="15" customFormat="1" ht="31.15" thickBot="1" x14ac:dyDescent="0.95">
      <c r="B2" s="49" t="s">
        <v>50</v>
      </c>
      <c r="C2" s="49"/>
      <c r="D2" s="49"/>
      <c r="E2" s="49"/>
      <c r="F2" s="49"/>
      <c r="G2" s="49"/>
      <c r="H2" s="49"/>
    </row>
    <row r="4" spans="2:10" ht="14.25" customHeight="1" x14ac:dyDescent="0.45">
      <c r="B4" s="50" t="s">
        <v>59</v>
      </c>
      <c r="C4" s="50"/>
      <c r="D4" s="50"/>
      <c r="E4" s="50"/>
      <c r="F4" s="50"/>
      <c r="G4" s="50"/>
      <c r="H4" s="50"/>
      <c r="I4" s="50"/>
      <c r="J4" s="50"/>
    </row>
    <row r="5" spans="2:10" x14ac:dyDescent="0.45">
      <c r="B5" s="50"/>
      <c r="C5" s="50"/>
      <c r="D5" s="50"/>
      <c r="E5" s="50"/>
      <c r="F5" s="50"/>
      <c r="G5" s="50"/>
      <c r="H5" s="50"/>
      <c r="I5" s="50"/>
      <c r="J5" s="50"/>
    </row>
    <row r="6" spans="2:10" x14ac:dyDescent="0.45">
      <c r="B6" s="50"/>
      <c r="C6" s="50"/>
      <c r="D6" s="50"/>
      <c r="E6" s="50"/>
      <c r="F6" s="50"/>
      <c r="G6" s="50"/>
      <c r="H6" s="50"/>
      <c r="I6" s="50"/>
      <c r="J6" s="50"/>
    </row>
    <row r="7" spans="2:10" x14ac:dyDescent="0.45">
      <c r="B7" s="50"/>
      <c r="C7" s="50"/>
      <c r="D7" s="50"/>
      <c r="E7" s="50"/>
      <c r="F7" s="50"/>
      <c r="G7" s="50"/>
      <c r="H7" s="50"/>
      <c r="I7" s="50"/>
      <c r="J7" s="50"/>
    </row>
    <row r="8" spans="2:10" x14ac:dyDescent="0.45">
      <c r="B8" s="50"/>
      <c r="C8" s="50"/>
      <c r="D8" s="50"/>
      <c r="E8" s="50"/>
      <c r="F8" s="50"/>
      <c r="G8" s="50"/>
      <c r="H8" s="50"/>
      <c r="I8" s="50"/>
      <c r="J8" s="50"/>
    </row>
    <row r="9" spans="2:10" x14ac:dyDescent="0.45">
      <c r="B9" s="50"/>
      <c r="C9" s="50"/>
      <c r="D9" s="50"/>
      <c r="E9" s="50"/>
      <c r="F9" s="50"/>
      <c r="G9" s="50"/>
      <c r="H9" s="50"/>
      <c r="I9" s="50"/>
      <c r="J9" s="50"/>
    </row>
    <row r="10" spans="2:10" x14ac:dyDescent="0.45">
      <c r="B10" s="50"/>
      <c r="C10" s="50"/>
      <c r="D10" s="50"/>
      <c r="E10" s="50"/>
      <c r="F10" s="50"/>
      <c r="G10" s="50"/>
      <c r="H10" s="50"/>
      <c r="I10" s="50"/>
      <c r="J10" s="50"/>
    </row>
    <row r="11" spans="2:10" x14ac:dyDescent="0.45">
      <c r="B11" s="50"/>
      <c r="C11" s="50"/>
      <c r="D11" s="50"/>
      <c r="E11" s="50"/>
      <c r="F11" s="50"/>
      <c r="G11" s="50"/>
      <c r="H11" s="50"/>
      <c r="I11" s="50"/>
      <c r="J11" s="50"/>
    </row>
    <row r="12" spans="2:10" x14ac:dyDescent="0.45">
      <c r="B12" s="50"/>
      <c r="C12" s="50"/>
      <c r="D12" s="50"/>
      <c r="E12" s="50"/>
      <c r="F12" s="50"/>
      <c r="G12" s="50"/>
      <c r="H12" s="50"/>
      <c r="I12" s="50"/>
      <c r="J12" s="50"/>
    </row>
    <row r="13" spans="2:10" x14ac:dyDescent="0.45">
      <c r="B13" s="50"/>
      <c r="C13" s="50"/>
      <c r="D13" s="50"/>
      <c r="E13" s="50"/>
      <c r="F13" s="50"/>
      <c r="G13" s="50"/>
      <c r="H13" s="50"/>
      <c r="I13" s="50"/>
      <c r="J13" s="50"/>
    </row>
    <row r="14" spans="2:10" x14ac:dyDescent="0.45">
      <c r="B14" s="50"/>
      <c r="C14" s="50"/>
      <c r="D14" s="50"/>
      <c r="E14" s="50"/>
      <c r="F14" s="50"/>
      <c r="G14" s="50"/>
      <c r="H14" s="50"/>
      <c r="I14" s="50"/>
      <c r="J14" s="50"/>
    </row>
    <row r="15" spans="2:10" x14ac:dyDescent="0.45">
      <c r="B15" s="50"/>
      <c r="C15" s="50"/>
      <c r="D15" s="50"/>
      <c r="E15" s="50"/>
      <c r="F15" s="50"/>
      <c r="G15" s="50"/>
      <c r="H15" s="50"/>
      <c r="I15" s="50"/>
      <c r="J15" s="50"/>
    </row>
    <row r="16" spans="2:10" x14ac:dyDescent="0.45">
      <c r="B16" s="50"/>
      <c r="C16" s="50"/>
      <c r="D16" s="50"/>
      <c r="E16" s="50"/>
      <c r="F16" s="50"/>
      <c r="G16" s="50"/>
      <c r="H16" s="50"/>
      <c r="I16" s="50"/>
      <c r="J16" s="50"/>
    </row>
    <row r="17" spans="2:10" x14ac:dyDescent="0.45">
      <c r="B17" s="50"/>
      <c r="C17" s="50"/>
      <c r="D17" s="50"/>
      <c r="E17" s="50"/>
      <c r="F17" s="50"/>
      <c r="G17" s="50"/>
      <c r="H17" s="50"/>
      <c r="I17" s="50"/>
      <c r="J17" s="50"/>
    </row>
    <row r="18" spans="2:10" x14ac:dyDescent="0.45">
      <c r="B18" s="50"/>
      <c r="C18" s="50"/>
      <c r="D18" s="50"/>
      <c r="E18" s="50"/>
      <c r="F18" s="50"/>
      <c r="G18" s="50"/>
      <c r="H18" s="50"/>
      <c r="I18" s="50"/>
      <c r="J18" s="50"/>
    </row>
    <row r="19" spans="2:10" x14ac:dyDescent="0.45">
      <c r="B19" s="50"/>
      <c r="C19" s="50"/>
      <c r="D19" s="50"/>
      <c r="E19" s="50"/>
      <c r="F19" s="50"/>
      <c r="G19" s="50"/>
      <c r="H19" s="50"/>
      <c r="I19" s="50"/>
      <c r="J19" s="50"/>
    </row>
    <row r="20" spans="2:10" x14ac:dyDescent="0.45">
      <c r="B20" s="50"/>
      <c r="C20" s="50"/>
      <c r="D20" s="50"/>
      <c r="E20" s="50"/>
      <c r="F20" s="50"/>
      <c r="G20" s="50"/>
      <c r="H20" s="50"/>
      <c r="I20" s="50"/>
      <c r="J20" s="50"/>
    </row>
    <row r="21" spans="2:10" x14ac:dyDescent="0.45">
      <c r="B21" s="50"/>
      <c r="C21" s="50"/>
      <c r="D21" s="50"/>
      <c r="E21" s="50"/>
      <c r="F21" s="50"/>
      <c r="G21" s="50"/>
      <c r="H21" s="50"/>
      <c r="I21" s="50"/>
      <c r="J21" s="50"/>
    </row>
    <row r="22" spans="2:10" x14ac:dyDescent="0.45">
      <c r="B22" s="50"/>
      <c r="C22" s="50"/>
      <c r="D22" s="50"/>
      <c r="E22" s="50"/>
      <c r="F22" s="50"/>
      <c r="G22" s="50"/>
      <c r="H22" s="50"/>
      <c r="I22" s="50"/>
      <c r="J22" s="50"/>
    </row>
    <row r="23" spans="2:10" x14ac:dyDescent="0.45">
      <c r="B23" s="50"/>
      <c r="C23" s="50"/>
      <c r="D23" s="50"/>
      <c r="E23" s="50"/>
      <c r="F23" s="50"/>
      <c r="G23" s="50"/>
      <c r="H23" s="50"/>
      <c r="I23" s="50"/>
      <c r="J23" s="50"/>
    </row>
    <row r="24" spans="2:10" x14ac:dyDescent="0.45">
      <c r="B24" s="50"/>
      <c r="C24" s="50"/>
      <c r="D24" s="50"/>
      <c r="E24" s="50"/>
      <c r="F24" s="50"/>
      <c r="G24" s="50"/>
      <c r="H24" s="50"/>
      <c r="I24" s="50"/>
      <c r="J24" s="50"/>
    </row>
    <row r="25" spans="2:10" x14ac:dyDescent="0.45">
      <c r="B25" s="50"/>
      <c r="C25" s="50"/>
      <c r="D25" s="50"/>
      <c r="E25" s="50"/>
      <c r="F25" s="50"/>
      <c r="G25" s="50"/>
      <c r="H25" s="50"/>
      <c r="I25" s="50"/>
      <c r="J25" s="50"/>
    </row>
    <row r="26" spans="2:10" x14ac:dyDescent="0.45">
      <c r="B26" s="50"/>
      <c r="C26" s="50"/>
      <c r="D26" s="50"/>
      <c r="E26" s="50"/>
      <c r="F26" s="50"/>
      <c r="G26" s="50"/>
      <c r="H26" s="50"/>
      <c r="I26" s="50"/>
      <c r="J26" s="50"/>
    </row>
    <row r="27" spans="2:10" x14ac:dyDescent="0.45">
      <c r="B27" s="50"/>
      <c r="C27" s="50"/>
      <c r="D27" s="50"/>
      <c r="E27" s="50"/>
      <c r="F27" s="50"/>
      <c r="G27" s="50"/>
      <c r="H27" s="50"/>
      <c r="I27" s="50"/>
      <c r="J27" s="50"/>
    </row>
    <row r="28" spans="2:10" x14ac:dyDescent="0.45">
      <c r="B28" s="50"/>
      <c r="C28" s="50"/>
      <c r="D28" s="50"/>
      <c r="E28" s="50"/>
      <c r="F28" s="50"/>
      <c r="G28" s="50"/>
      <c r="H28" s="50"/>
      <c r="I28" s="50"/>
      <c r="J28" s="50"/>
    </row>
    <row r="29" spans="2:10" x14ac:dyDescent="0.45">
      <c r="B29" s="50"/>
      <c r="C29" s="50"/>
      <c r="D29" s="50"/>
      <c r="E29" s="50"/>
      <c r="F29" s="50"/>
      <c r="G29" s="50"/>
      <c r="H29" s="50"/>
      <c r="I29" s="50"/>
      <c r="J29" s="50"/>
    </row>
    <row r="30" spans="2:10" x14ac:dyDescent="0.45">
      <c r="B30" s="50"/>
      <c r="C30" s="50"/>
      <c r="D30" s="50"/>
      <c r="E30" s="50"/>
      <c r="F30" s="50"/>
      <c r="G30" s="50"/>
      <c r="H30" s="50"/>
      <c r="I30" s="50"/>
      <c r="J30" s="50"/>
    </row>
    <row r="31" spans="2:10" x14ac:dyDescent="0.45">
      <c r="B31" s="50"/>
      <c r="C31" s="50"/>
      <c r="D31" s="50"/>
      <c r="E31" s="50"/>
      <c r="F31" s="50"/>
      <c r="G31" s="50"/>
      <c r="H31" s="50"/>
      <c r="I31" s="50"/>
      <c r="J31" s="50"/>
    </row>
    <row r="32" spans="2:10" x14ac:dyDescent="0.45">
      <c r="B32" s="50"/>
      <c r="C32" s="50"/>
      <c r="D32" s="50"/>
      <c r="E32" s="50"/>
      <c r="F32" s="50"/>
      <c r="G32" s="50"/>
      <c r="H32" s="50"/>
      <c r="I32" s="50"/>
      <c r="J32" s="50"/>
    </row>
    <row r="33" spans="2:10" x14ac:dyDescent="0.45">
      <c r="B33" s="50"/>
      <c r="C33" s="50"/>
      <c r="D33" s="50"/>
      <c r="E33" s="50"/>
      <c r="F33" s="50"/>
      <c r="G33" s="50"/>
      <c r="H33" s="50"/>
      <c r="I33" s="50"/>
      <c r="J33" s="50"/>
    </row>
    <row r="34" spans="2:10" x14ac:dyDescent="0.45">
      <c r="B34" s="50"/>
      <c r="C34" s="50"/>
      <c r="D34" s="50"/>
      <c r="E34" s="50"/>
      <c r="F34" s="50"/>
      <c r="G34" s="50"/>
      <c r="H34" s="50"/>
      <c r="I34" s="50"/>
      <c r="J34" s="50"/>
    </row>
    <row r="35" spans="2:10" x14ac:dyDescent="0.45">
      <c r="B35" s="50"/>
      <c r="C35" s="50"/>
      <c r="D35" s="50"/>
      <c r="E35" s="50"/>
      <c r="F35" s="50"/>
      <c r="G35" s="50"/>
      <c r="H35" s="50"/>
      <c r="I35" s="50"/>
      <c r="J35" s="50"/>
    </row>
    <row r="36" spans="2:10" x14ac:dyDescent="0.45">
      <c r="B36" s="50"/>
      <c r="C36" s="50"/>
      <c r="D36" s="50"/>
      <c r="E36" s="50"/>
      <c r="F36" s="50"/>
      <c r="G36" s="50"/>
      <c r="H36" s="50"/>
      <c r="I36" s="50"/>
      <c r="J36" s="50"/>
    </row>
    <row r="37" spans="2:10" x14ac:dyDescent="0.45">
      <c r="B37" s="50"/>
      <c r="C37" s="50"/>
      <c r="D37" s="50"/>
      <c r="E37" s="50"/>
      <c r="F37" s="50"/>
      <c r="G37" s="50"/>
      <c r="H37" s="50"/>
      <c r="I37" s="50"/>
      <c r="J37" s="50"/>
    </row>
    <row r="38" spans="2:10" x14ac:dyDescent="0.45">
      <c r="B38" s="50"/>
      <c r="C38" s="50"/>
      <c r="D38" s="50"/>
      <c r="E38" s="50"/>
      <c r="F38" s="50"/>
      <c r="G38" s="50"/>
      <c r="H38" s="50"/>
      <c r="I38" s="50"/>
      <c r="J38" s="50"/>
    </row>
    <row r="39" spans="2:10" x14ac:dyDescent="0.45">
      <c r="B39" s="50"/>
      <c r="C39" s="50"/>
      <c r="D39" s="50"/>
      <c r="E39" s="50"/>
      <c r="F39" s="50"/>
      <c r="G39" s="50"/>
      <c r="H39" s="50"/>
      <c r="I39" s="50"/>
      <c r="J39" s="50"/>
    </row>
    <row r="40" spans="2:10" x14ac:dyDescent="0.45">
      <c r="B40" s="50"/>
      <c r="C40" s="50"/>
      <c r="D40" s="50"/>
      <c r="E40" s="50"/>
      <c r="F40" s="50"/>
      <c r="G40" s="50"/>
      <c r="H40" s="50"/>
      <c r="I40" s="50"/>
      <c r="J40" s="50"/>
    </row>
    <row r="41" spans="2:10" x14ac:dyDescent="0.45">
      <c r="B41" s="50"/>
      <c r="C41" s="50"/>
      <c r="D41" s="50"/>
      <c r="E41" s="50"/>
      <c r="F41" s="50"/>
      <c r="G41" s="50"/>
      <c r="H41" s="50"/>
      <c r="I41" s="50"/>
      <c r="J41" s="50"/>
    </row>
    <row r="42" spans="2:10" x14ac:dyDescent="0.45">
      <c r="B42" s="50"/>
      <c r="C42" s="50"/>
      <c r="D42" s="50"/>
      <c r="E42" s="50"/>
      <c r="F42" s="50"/>
      <c r="G42" s="50"/>
      <c r="H42" s="50"/>
      <c r="I42" s="50"/>
      <c r="J42" s="50"/>
    </row>
    <row r="43" spans="2:10" x14ac:dyDescent="0.45">
      <c r="B43" s="50"/>
      <c r="C43" s="50"/>
      <c r="D43" s="50"/>
      <c r="E43" s="50"/>
      <c r="F43" s="50"/>
      <c r="G43" s="50"/>
      <c r="H43" s="50"/>
      <c r="I43" s="50"/>
      <c r="J43" s="50"/>
    </row>
  </sheetData>
  <mergeCells count="2">
    <mergeCell ref="B2:H2"/>
    <mergeCell ref="B4:J4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DD6AF-874F-4618-B64C-DD2C041DD996}">
  <sheetPr codeName="Sheet3"/>
  <dimension ref="A1:E7"/>
  <sheetViews>
    <sheetView showGridLines="0" workbookViewId="0">
      <selection activeCell="B23" sqref="B23"/>
    </sheetView>
  </sheetViews>
  <sheetFormatPr defaultRowHeight="14.25" x14ac:dyDescent="0.45"/>
  <cols>
    <col min="1" max="1" width="9" bestFit="1" customWidth="1"/>
    <col min="2" max="2" width="14.265625" bestFit="1" customWidth="1"/>
    <col min="3" max="3" width="17.796875" bestFit="1" customWidth="1"/>
    <col min="4" max="4" width="24" bestFit="1" customWidth="1"/>
    <col min="5" max="5" width="17.19921875" bestFit="1" customWidth="1"/>
    <col min="7" max="7" width="20.796875" bestFit="1" customWidth="1"/>
  </cols>
  <sheetData>
    <row r="1" spans="1:5" s="5" customFormat="1" ht="14.65" thickBot="1" x14ac:dyDescent="0.5">
      <c r="A1" s="5" t="s">
        <v>24</v>
      </c>
      <c r="B1" s="5" t="s">
        <v>31</v>
      </c>
      <c r="C1" s="5" t="s">
        <v>43</v>
      </c>
      <c r="D1" s="5" t="s">
        <v>39</v>
      </c>
      <c r="E1" s="5" t="s">
        <v>40</v>
      </c>
    </row>
    <row r="2" spans="1:5" x14ac:dyDescent="0.45">
      <c r="A2" t="s">
        <v>25</v>
      </c>
      <c r="B2">
        <v>40</v>
      </c>
      <c r="C2">
        <v>2000</v>
      </c>
      <c r="D2" s="17">
        <v>0.25</v>
      </c>
      <c r="E2">
        <f>D2*USA_Diesel_prices!$B$2</f>
        <v>0.27100000000000002</v>
      </c>
    </row>
    <row r="3" spans="1:5" x14ac:dyDescent="0.45">
      <c r="A3" t="s">
        <v>26</v>
      </c>
      <c r="B3">
        <v>58</v>
      </c>
      <c r="C3">
        <v>4000</v>
      </c>
      <c r="D3" s="17">
        <v>0.35</v>
      </c>
      <c r="E3">
        <f>D3*USA_Diesel_prices!$B$2</f>
        <v>0.37940000000000002</v>
      </c>
    </row>
    <row r="4" spans="1:5" x14ac:dyDescent="0.45">
      <c r="A4" t="s">
        <v>27</v>
      </c>
      <c r="B4">
        <v>96</v>
      </c>
      <c r="C4">
        <v>6000</v>
      </c>
      <c r="D4" s="17">
        <v>0.45</v>
      </c>
      <c r="E4">
        <f>D4*USA_Diesel_prices!$B$2</f>
        <v>0.48780000000000007</v>
      </c>
    </row>
    <row r="5" spans="1:5" x14ac:dyDescent="0.45">
      <c r="A5" t="s">
        <v>28</v>
      </c>
      <c r="B5">
        <v>111</v>
      </c>
      <c r="C5">
        <v>7000</v>
      </c>
      <c r="D5" s="17">
        <v>0.55000000000000004</v>
      </c>
      <c r="E5">
        <f>D5*USA_Diesel_prices!$B$2</f>
        <v>0.59620000000000006</v>
      </c>
    </row>
    <row r="6" spans="1:5" x14ac:dyDescent="0.45">
      <c r="A6" t="s">
        <v>29</v>
      </c>
      <c r="B6">
        <v>134</v>
      </c>
      <c r="C6">
        <v>7500</v>
      </c>
      <c r="D6" s="17">
        <v>0.6</v>
      </c>
      <c r="E6">
        <f>D6*USA_Diesel_prices!$B$2</f>
        <v>0.65039999999999998</v>
      </c>
    </row>
    <row r="7" spans="1:5" x14ac:dyDescent="0.45">
      <c r="A7" t="s">
        <v>30</v>
      </c>
      <c r="B7">
        <v>155</v>
      </c>
      <c r="C7">
        <v>10000</v>
      </c>
      <c r="D7" s="17">
        <v>0.7</v>
      </c>
      <c r="E7">
        <f>D7*USA_Diesel_prices!$B$2</f>
        <v>0.75880000000000003</v>
      </c>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33F4E-1FE3-473B-8240-7E2A3DF5E182}">
  <sheetPr codeName="Sheet4"/>
  <dimension ref="A1:C5"/>
  <sheetViews>
    <sheetView showGridLines="0" tabSelected="1" workbookViewId="0">
      <selection activeCell="F15" sqref="F15"/>
    </sheetView>
  </sheetViews>
  <sheetFormatPr defaultRowHeight="14.25" x14ac:dyDescent="0.45"/>
  <cols>
    <col min="1" max="1" width="17.06640625" bestFit="1" customWidth="1"/>
    <col min="2" max="2" width="6.53125" bestFit="1" customWidth="1"/>
    <col min="3" max="3" width="8.1328125" bestFit="1" customWidth="1"/>
  </cols>
  <sheetData>
    <row r="1" spans="1:3" x14ac:dyDescent="0.45">
      <c r="A1" t="s">
        <v>51</v>
      </c>
      <c r="B1" t="s">
        <v>52</v>
      </c>
      <c r="C1" t="s">
        <v>53</v>
      </c>
    </row>
    <row r="2" spans="1:3" x14ac:dyDescent="0.45">
      <c r="A2" t="s">
        <v>54</v>
      </c>
      <c r="B2">
        <v>1.0840000000000001</v>
      </c>
      <c r="C2">
        <v>4.1029999999999998</v>
      </c>
    </row>
    <row r="3" spans="1:3" x14ac:dyDescent="0.45">
      <c r="A3" t="s">
        <v>55</v>
      </c>
      <c r="B3">
        <v>0.99</v>
      </c>
      <c r="C3">
        <v>3.7480000000000002</v>
      </c>
    </row>
    <row r="5" spans="1:3" x14ac:dyDescent="0.45">
      <c r="A5" s="54" t="s">
        <v>61</v>
      </c>
    </row>
  </sheetData>
  <hyperlinks>
    <hyperlink ref="A5" r:id="rId1" xr:uid="{95996231-BCF6-4DAB-8E38-99791D3739A2}"/>
  </hyperlinks>
  <pageMargins left="0.7" right="0.7" top="0.75" bottom="0.75" header="0.3" footer="0.3"/>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38BD7-06BB-4D20-934B-5C84E0751B6F}">
  <sheetPr codeName="Sheet6"/>
  <dimension ref="A1:I20"/>
  <sheetViews>
    <sheetView showGridLines="0" workbookViewId="0">
      <selection activeCell="K19" sqref="K19"/>
    </sheetView>
  </sheetViews>
  <sheetFormatPr defaultRowHeight="14.25" x14ac:dyDescent="0.45"/>
  <cols>
    <col min="1" max="1" width="11.73046875" bestFit="1" customWidth="1"/>
    <col min="2" max="7" width="6.06640625" bestFit="1" customWidth="1"/>
    <col min="9" max="9" width="20" bestFit="1" customWidth="1"/>
  </cols>
  <sheetData>
    <row r="1" spans="1:9" s="5" customFormat="1" ht="14.65" thickBot="1" x14ac:dyDescent="0.5">
      <c r="A1" s="5" t="s">
        <v>32</v>
      </c>
      <c r="B1" s="5" t="s">
        <v>25</v>
      </c>
      <c r="C1" s="5" t="s">
        <v>26</v>
      </c>
      <c r="D1" s="5" t="s">
        <v>27</v>
      </c>
      <c r="E1" s="5" t="s">
        <v>28</v>
      </c>
      <c r="F1" s="5" t="s">
        <v>29</v>
      </c>
      <c r="G1" s="5" t="s">
        <v>30</v>
      </c>
      <c r="H1" s="18" t="s">
        <v>44</v>
      </c>
      <c r="I1" s="5" t="s">
        <v>49</v>
      </c>
    </row>
    <row r="2" spans="1:9" x14ac:dyDescent="0.45">
      <c r="A2" t="s">
        <v>10</v>
      </c>
      <c r="B2" s="6">
        <v>126.532</v>
      </c>
      <c r="C2" s="6">
        <v>200</v>
      </c>
      <c r="D2" s="6">
        <v>297</v>
      </c>
      <c r="E2" s="6">
        <v>345</v>
      </c>
      <c r="F2" s="6">
        <v>783</v>
      </c>
      <c r="G2" s="6">
        <v>935</v>
      </c>
      <c r="H2">
        <v>3.23243008494732E-2</v>
      </c>
      <c r="I2">
        <v>0</v>
      </c>
    </row>
    <row r="3" spans="1:9" x14ac:dyDescent="0.45">
      <c r="A3" t="s">
        <v>6</v>
      </c>
      <c r="B3" s="6">
        <v>163</v>
      </c>
      <c r="C3" s="6">
        <v>369.29021054391347</v>
      </c>
      <c r="D3" s="6">
        <v>483</v>
      </c>
      <c r="E3" s="6">
        <v>562</v>
      </c>
      <c r="F3" s="6">
        <v>816</v>
      </c>
      <c r="G3" s="6">
        <v>1001</v>
      </c>
      <c r="H3">
        <v>5.6000000000000001E-2</v>
      </c>
      <c r="I3">
        <v>0</v>
      </c>
    </row>
    <row r="4" spans="1:9" x14ac:dyDescent="0.45">
      <c r="A4" t="s">
        <v>12</v>
      </c>
      <c r="B4" s="6">
        <v>178.80807127575528</v>
      </c>
      <c r="C4" s="6">
        <v>255</v>
      </c>
      <c r="D4" s="6">
        <v>360</v>
      </c>
      <c r="E4" s="6">
        <v>463</v>
      </c>
      <c r="F4" s="6">
        <v>831</v>
      </c>
      <c r="G4" s="6">
        <v>916</v>
      </c>
      <c r="H4">
        <v>3.0317926724266787E-2</v>
      </c>
      <c r="I4">
        <v>0</v>
      </c>
    </row>
    <row r="5" spans="1:9" x14ac:dyDescent="0.45">
      <c r="A5" t="s">
        <v>8</v>
      </c>
      <c r="B5" s="6">
        <v>218.53067167106138</v>
      </c>
      <c r="C5" s="6">
        <v>378.00910659279049</v>
      </c>
      <c r="D5" s="6">
        <v>730.33966983281266</v>
      </c>
      <c r="E5" s="6">
        <v>816.24595067596181</v>
      </c>
      <c r="F5" s="6">
        <v>1042.3886483476992</v>
      </c>
      <c r="G5" s="6">
        <v>1474.9054582292545</v>
      </c>
      <c r="H5">
        <v>6.9000000000000006E-2</v>
      </c>
      <c r="I5">
        <v>0</v>
      </c>
    </row>
    <row r="6" spans="1:9" x14ac:dyDescent="0.45">
      <c r="A6" t="s">
        <v>4</v>
      </c>
      <c r="B6" s="6">
        <v>194.36150926465351</v>
      </c>
      <c r="C6" s="6">
        <v>379.40765106291286</v>
      </c>
      <c r="D6" s="6">
        <v>732.68819853959474</v>
      </c>
      <c r="E6" s="6">
        <v>874.41939397195438</v>
      </c>
      <c r="F6" s="6">
        <v>958.40378943571284</v>
      </c>
      <c r="G6" s="6">
        <v>1565.0756435383062</v>
      </c>
      <c r="H6">
        <v>3.5269294398009278E-2</v>
      </c>
      <c r="I6">
        <v>0</v>
      </c>
    </row>
    <row r="7" spans="1:9" x14ac:dyDescent="0.45">
      <c r="A7" t="s">
        <v>13</v>
      </c>
      <c r="B7" s="6">
        <v>200.8250291334958</v>
      </c>
      <c r="C7" s="6">
        <v>255.84700000000001</v>
      </c>
      <c r="D7" s="6">
        <v>316</v>
      </c>
      <c r="E7" s="6">
        <v>384</v>
      </c>
      <c r="F7" s="6">
        <v>717</v>
      </c>
      <c r="G7" s="6">
        <v>863</v>
      </c>
      <c r="H7">
        <v>2.0223518774413161E-2</v>
      </c>
      <c r="I7">
        <v>1</v>
      </c>
    </row>
    <row r="8" spans="1:9" x14ac:dyDescent="0.45">
      <c r="A8" t="s">
        <v>7</v>
      </c>
      <c r="B8" s="6">
        <v>152.12069263071177</v>
      </c>
      <c r="C8" s="6">
        <v>419.83628133317927</v>
      </c>
      <c r="D8" s="6">
        <v>701.88662638400319</v>
      </c>
      <c r="E8" s="6">
        <v>884.78247392846606</v>
      </c>
      <c r="F8" s="6">
        <v>1001.0662905279191</v>
      </c>
      <c r="G8" s="6">
        <v>1569.4433264542856</v>
      </c>
      <c r="H8">
        <v>3.4000000000000002E-2</v>
      </c>
      <c r="I8">
        <v>1</v>
      </c>
    </row>
    <row r="9" spans="1:9" x14ac:dyDescent="0.45">
      <c r="A9" t="s">
        <v>5</v>
      </c>
      <c r="B9" s="6">
        <v>204.30716074044784</v>
      </c>
      <c r="C9" s="6">
        <v>397.95254192468087</v>
      </c>
      <c r="D9" s="6">
        <v>698.50904510842815</v>
      </c>
      <c r="E9" s="6">
        <v>746.65310875133378</v>
      </c>
      <c r="F9" s="6">
        <v>973.0693875734745</v>
      </c>
      <c r="G9" s="6">
        <v>1510.2894146146905</v>
      </c>
      <c r="H9">
        <v>8.5000000000000006E-2</v>
      </c>
      <c r="I9">
        <v>1</v>
      </c>
    </row>
    <row r="10" spans="1:9" x14ac:dyDescent="0.45">
      <c r="A10" t="s">
        <v>33</v>
      </c>
      <c r="B10" s="6">
        <v>99.423000000000002</v>
      </c>
      <c r="C10" s="6">
        <v>402.8792701337735</v>
      </c>
      <c r="D10" s="6">
        <v>519</v>
      </c>
      <c r="E10" s="6">
        <v>611</v>
      </c>
      <c r="F10" s="6">
        <v>634</v>
      </c>
      <c r="G10" s="6">
        <v>748</v>
      </c>
      <c r="H10">
        <v>0.02</v>
      </c>
      <c r="I10">
        <v>0</v>
      </c>
    </row>
    <row r="11" spans="1:9" x14ac:dyDescent="0.45">
      <c r="A11" t="s">
        <v>14</v>
      </c>
      <c r="B11" s="6">
        <v>117</v>
      </c>
      <c r="C11" s="6">
        <v>325</v>
      </c>
      <c r="D11" s="6">
        <v>384</v>
      </c>
      <c r="E11" s="6">
        <v>492</v>
      </c>
      <c r="F11" s="6">
        <v>904.61401812168299</v>
      </c>
      <c r="G11" s="6">
        <v>1047</v>
      </c>
      <c r="H11">
        <v>2.1049689911392055E-2</v>
      </c>
      <c r="I11">
        <v>0</v>
      </c>
    </row>
    <row r="12" spans="1:9" x14ac:dyDescent="0.45">
      <c r="A12" t="s">
        <v>3</v>
      </c>
      <c r="B12" s="6">
        <v>424.67862871133099</v>
      </c>
      <c r="C12" s="6">
        <v>700.30906845196353</v>
      </c>
      <c r="D12" s="6">
        <v>812.86282043838867</v>
      </c>
      <c r="E12" s="6">
        <v>997.05902821818154</v>
      </c>
      <c r="F12" s="6">
        <v>1542.4677222743974</v>
      </c>
      <c r="G12" s="6">
        <v>1874.124</v>
      </c>
      <c r="H12">
        <v>0.155</v>
      </c>
      <c r="I12">
        <v>0</v>
      </c>
    </row>
    <row r="13" spans="1:9" x14ac:dyDescent="0.45">
      <c r="A13" t="s">
        <v>35</v>
      </c>
      <c r="B13" s="6">
        <v>101.27500000000001</v>
      </c>
      <c r="C13" s="6">
        <v>413.03271601444362</v>
      </c>
      <c r="D13" s="6">
        <v>580</v>
      </c>
      <c r="E13" s="6">
        <v>683</v>
      </c>
      <c r="F13" s="6">
        <v>883</v>
      </c>
      <c r="G13" s="6">
        <v>916</v>
      </c>
      <c r="H13">
        <v>1.7000000000000001E-2</v>
      </c>
      <c r="I13">
        <v>1</v>
      </c>
    </row>
    <row r="14" spans="1:9" x14ac:dyDescent="0.45">
      <c r="A14" t="s">
        <v>36</v>
      </c>
      <c r="B14" s="6">
        <v>203.70926743535321</v>
      </c>
      <c r="C14" s="6">
        <v>374.24315078611249</v>
      </c>
      <c r="D14" s="6">
        <v>714.38498454718854</v>
      </c>
      <c r="E14" s="6">
        <v>914.8715602532086</v>
      </c>
      <c r="F14" s="6">
        <v>962.12836681631973</v>
      </c>
      <c r="G14" s="6">
        <v>1534.3585357638083</v>
      </c>
      <c r="H14">
        <v>9.2999999999999999E-2</v>
      </c>
      <c r="I14">
        <v>1</v>
      </c>
    </row>
    <row r="15" spans="1:9" x14ac:dyDescent="0.45">
      <c r="A15" t="s">
        <v>34</v>
      </c>
      <c r="B15" s="6">
        <v>187.09111724367872</v>
      </c>
      <c r="C15" s="6">
        <v>378.13270747501298</v>
      </c>
      <c r="D15" s="6">
        <v>698.67336750573338</v>
      </c>
      <c r="E15" s="6">
        <v>804.30369721884961</v>
      </c>
      <c r="F15" s="6">
        <v>1044.3970660213388</v>
      </c>
      <c r="G15" s="6">
        <v>1592.123621320382</v>
      </c>
      <c r="H15">
        <v>4.4999999999999998E-2</v>
      </c>
      <c r="I15">
        <v>0</v>
      </c>
    </row>
    <row r="16" spans="1:9" x14ac:dyDescent="0.45">
      <c r="A16" t="s">
        <v>9</v>
      </c>
      <c r="B16" s="6">
        <v>206.89819099359644</v>
      </c>
      <c r="C16" s="6">
        <v>398.60502849409585</v>
      </c>
      <c r="D16" s="6">
        <v>703.583691387881</v>
      </c>
      <c r="E16" s="6">
        <v>850.1187327639135</v>
      </c>
      <c r="F16" s="6">
        <v>1001.311413155172</v>
      </c>
      <c r="G16" s="6">
        <v>1536.4103868681837</v>
      </c>
      <c r="H16">
        <v>0.12239999999999999</v>
      </c>
      <c r="I16">
        <v>0</v>
      </c>
    </row>
    <row r="17" spans="1:9" x14ac:dyDescent="0.45">
      <c r="A17" t="s">
        <v>37</v>
      </c>
      <c r="B17" s="6">
        <v>202.77142430593526</v>
      </c>
      <c r="C17" s="6">
        <v>381.70734294921851</v>
      </c>
      <c r="D17" s="6">
        <v>731.64134272079991</v>
      </c>
      <c r="E17" s="6">
        <v>859.7632450560418</v>
      </c>
      <c r="F17" s="6">
        <v>989.45448572670387</v>
      </c>
      <c r="G17" s="6">
        <v>1513.9641411992668</v>
      </c>
      <c r="H17">
        <v>0.105</v>
      </c>
      <c r="I17">
        <v>0</v>
      </c>
    </row>
    <row r="18" spans="1:9" x14ac:dyDescent="0.45">
      <c r="H18" s="1"/>
    </row>
    <row r="19" spans="1:9" x14ac:dyDescent="0.45">
      <c r="H19" s="1"/>
    </row>
    <row r="20" spans="1:9" x14ac:dyDescent="0.45">
      <c r="H20" s="1"/>
    </row>
  </sheetData>
  <conditionalFormatting sqref="H18:H20">
    <cfRule type="expression" dxfId="2" priority="1">
      <formula>$H18=1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F956F-E8D4-4D5E-BA65-9469252C485C}">
  <sheetPr codeName="Sheet2"/>
  <dimension ref="B1:S91"/>
  <sheetViews>
    <sheetView showGridLines="0" zoomScale="56" zoomScaleNormal="56" workbookViewId="0">
      <selection activeCell="K6" sqref="K6"/>
    </sheetView>
  </sheetViews>
  <sheetFormatPr defaultRowHeight="14.25" x14ac:dyDescent="0.45"/>
  <cols>
    <col min="2" max="2" width="21.73046875" customWidth="1"/>
    <col min="3" max="3" width="10.59765625" customWidth="1"/>
    <col min="4" max="4" width="17" customWidth="1"/>
    <col min="5" max="5" width="11.265625" bestFit="1" customWidth="1"/>
    <col min="6" max="6" width="15.1328125" bestFit="1" customWidth="1"/>
    <col min="7" max="9" width="8.1328125" customWidth="1"/>
    <col min="10" max="10" width="24.265625" customWidth="1"/>
    <col min="11" max="11" width="18.86328125" bestFit="1" customWidth="1"/>
    <col min="12" max="12" width="12.19921875" bestFit="1" customWidth="1"/>
    <col min="14" max="14" width="11.265625" customWidth="1"/>
    <col min="15" max="15" width="7.1328125" bestFit="1" customWidth="1"/>
    <col min="16" max="16" width="5.6640625" bestFit="1" customWidth="1"/>
    <col min="17" max="17" width="7.06640625" bestFit="1" customWidth="1"/>
    <col min="18" max="18" width="1.73046875" bestFit="1" customWidth="1"/>
    <col min="19" max="19" width="5.6640625" customWidth="1"/>
  </cols>
  <sheetData>
    <row r="1" spans="2:19" s="14" customFormat="1" x14ac:dyDescent="0.45"/>
    <row r="2" spans="2:19" s="14" customFormat="1" ht="30.75" x14ac:dyDescent="0.9">
      <c r="B2" s="20" t="s">
        <v>23</v>
      </c>
    </row>
    <row r="3" spans="2:19" s="15" customFormat="1" ht="23.65" thickBot="1" x14ac:dyDescent="0.75">
      <c r="B3" s="21" t="s">
        <v>50</v>
      </c>
    </row>
    <row r="4" spans="2:19" ht="14.65" thickBot="1" x14ac:dyDescent="0.5"/>
    <row r="5" spans="2:19" x14ac:dyDescent="0.45">
      <c r="B5" s="30" t="s">
        <v>24</v>
      </c>
      <c r="C5" s="48" t="s">
        <v>25</v>
      </c>
      <c r="D5" s="31" t="s">
        <v>60</v>
      </c>
      <c r="E5" s="7"/>
      <c r="F5" s="8"/>
      <c r="G5" s="7"/>
      <c r="H5" s="8"/>
    </row>
    <row r="6" spans="2:19" x14ac:dyDescent="0.45">
      <c r="B6" s="32" t="s">
        <v>31</v>
      </c>
      <c r="C6">
        <f>VLOOKUP($C$5,Truck_information!$A$2:$E$7,2)</f>
        <v>40</v>
      </c>
      <c r="H6" s="10"/>
    </row>
    <row r="7" spans="2:19" x14ac:dyDescent="0.45">
      <c r="B7" s="32" t="s">
        <v>43</v>
      </c>
      <c r="C7">
        <f>VLOOKUP($C$5,Truck_information!$A$2:$E$7,3)</f>
        <v>2000</v>
      </c>
      <c r="H7" s="10"/>
    </row>
    <row r="8" spans="2:19" ht="14.65" thickBot="1" x14ac:dyDescent="0.5">
      <c r="B8" s="33" t="s">
        <v>40</v>
      </c>
      <c r="C8" s="5">
        <f>VLOOKUP($C$5,Truck_information!$A$2:$E$7,5)</f>
        <v>0.27100000000000002</v>
      </c>
      <c r="D8" s="5"/>
      <c r="E8" s="5"/>
      <c r="F8" s="5"/>
      <c r="G8" s="5"/>
      <c r="H8" s="11"/>
    </row>
    <row r="10" spans="2:19" ht="18" x14ac:dyDescent="0.55000000000000004">
      <c r="B10" s="53" t="s">
        <v>58</v>
      </c>
      <c r="C10" s="53"/>
      <c r="D10" s="53"/>
      <c r="E10" s="53"/>
      <c r="F10" s="53"/>
    </row>
    <row r="11" spans="2:19" ht="14.65" thickBot="1" x14ac:dyDescent="0.5"/>
    <row r="12" spans="2:19" ht="14.65" thickBot="1" x14ac:dyDescent="0.5">
      <c r="B12" s="34" t="s">
        <v>0</v>
      </c>
      <c r="C12" s="38" t="s">
        <v>1</v>
      </c>
      <c r="D12" s="31" t="s">
        <v>22</v>
      </c>
      <c r="E12" s="38" t="s">
        <v>44</v>
      </c>
      <c r="F12" s="35" t="s">
        <v>38</v>
      </c>
      <c r="H12" s="38" t="s">
        <v>15</v>
      </c>
      <c r="J12" s="38" t="s">
        <v>45</v>
      </c>
      <c r="K12" s="38" t="s">
        <v>46</v>
      </c>
      <c r="L12" s="35" t="s">
        <v>41</v>
      </c>
      <c r="N12" s="3" t="s">
        <v>20</v>
      </c>
    </row>
    <row r="13" spans="2:19" x14ac:dyDescent="0.45">
      <c r="B13" s="9" t="s">
        <v>11</v>
      </c>
      <c r="C13" s="44" t="s">
        <v>10</v>
      </c>
      <c r="D13">
        <v>548.40200000000004</v>
      </c>
      <c r="E13" s="46">
        <f>INDEX(Tolls_and_check_facilities!$A$2:$I$17,MATCH(Medium_model!C13,Tolls_and_check_facilities!$A$2:$A$17,0),8)</f>
        <v>3.23243008494732E-2</v>
      </c>
      <c r="F13" s="36">
        <f>INDEX(Tolls_and_check_facilities!$B$2:$G$17,MATCH(C13,Tolls_and_check_facilities!$A$2:$A$17,0),MATCH(Medium_model!$C$5,Tolls_and_check_facilities!$B$1:$G$1))</f>
        <v>126.532</v>
      </c>
      <c r="H13" s="39">
        <v>0</v>
      </c>
      <c r="I13" s="1"/>
      <c r="J13" s="42">
        <f>(E13*$C$7)*H13</f>
        <v>0</v>
      </c>
      <c r="K13" s="42">
        <f>F13*H13</f>
        <v>0</v>
      </c>
      <c r="L13" s="41">
        <f>$C$8*D13*H13</f>
        <v>0</v>
      </c>
      <c r="N13" s="16"/>
      <c r="O13" s="7" t="s">
        <v>17</v>
      </c>
      <c r="P13" s="7" t="s">
        <v>16</v>
      </c>
      <c r="Q13" s="7" t="s">
        <v>18</v>
      </c>
      <c r="R13" s="7"/>
      <c r="S13" s="8"/>
    </row>
    <row r="14" spans="2:19" x14ac:dyDescent="0.45">
      <c r="B14" s="9" t="s">
        <v>11</v>
      </c>
      <c r="C14" s="44" t="s">
        <v>6</v>
      </c>
      <c r="D14">
        <v>724.2</v>
      </c>
      <c r="E14" s="46">
        <f>INDEX(Tolls_and_check_facilities!$A$2:$I$17,MATCH(Medium_model!C14,Tolls_and_check_facilities!$A$2:$A$17,0),8)</f>
        <v>5.6000000000000001E-2</v>
      </c>
      <c r="F14" s="36">
        <f>INDEX(Tolls_and_check_facilities!$B$2:$G$17,MATCH(C14,Tolls_and_check_facilities!$A$2:$A$17,0),MATCH(Medium_model!$C$5,Tolls_and_check_facilities!$B$1:$G$1))</f>
        <v>163</v>
      </c>
      <c r="H14" s="39">
        <v>1</v>
      </c>
      <c r="I14" s="1"/>
      <c r="J14" s="42">
        <f t="shared" ref="J14:J76" si="0">(E14*$C$7)*H14</f>
        <v>112</v>
      </c>
      <c r="K14" s="42">
        <f t="shared" ref="K14:K75" si="1">F14*H14</f>
        <v>163</v>
      </c>
      <c r="L14" s="41">
        <f t="shared" ref="L14:L76" si="2">$C$8*D14*H14</f>
        <v>196.25820000000002</v>
      </c>
      <c r="N14" s="9" t="s">
        <v>11</v>
      </c>
      <c r="O14" s="2">
        <f>SUM(H13:H14)</f>
        <v>1</v>
      </c>
      <c r="P14" s="2">
        <v>0</v>
      </c>
      <c r="Q14" s="2">
        <f>O14-P14</f>
        <v>1</v>
      </c>
      <c r="R14" t="s">
        <v>19</v>
      </c>
      <c r="S14" s="10">
        <v>1</v>
      </c>
    </row>
    <row r="15" spans="2:19" x14ac:dyDescent="0.45">
      <c r="B15" s="9" t="s">
        <v>10</v>
      </c>
      <c r="C15" s="44" t="s">
        <v>6</v>
      </c>
      <c r="D15">
        <v>924.97199999999998</v>
      </c>
      <c r="E15" s="46">
        <f>INDEX(Tolls_and_check_facilities!$A$2:$I$17,MATCH(Medium_model!C15,Tolls_and_check_facilities!$A$2:$A$17,0),8)</f>
        <v>5.6000000000000001E-2</v>
      </c>
      <c r="F15" s="36">
        <f>INDEX(Tolls_and_check_facilities!$B$2:$G$17,MATCH(C15,Tolls_and_check_facilities!$A$2:$A$17,0),MATCH(Medium_model!$C$5,Tolls_and_check_facilities!$B$1:$G$1))</f>
        <v>163</v>
      </c>
      <c r="H15" s="39">
        <v>0</v>
      </c>
      <c r="I15" s="1"/>
      <c r="J15" s="42">
        <f t="shared" si="0"/>
        <v>0</v>
      </c>
      <c r="K15" s="42">
        <f t="shared" si="1"/>
        <v>0</v>
      </c>
      <c r="L15" s="41">
        <f t="shared" si="2"/>
        <v>0</v>
      </c>
      <c r="N15" s="9" t="s">
        <v>10</v>
      </c>
      <c r="O15" s="2">
        <f>SUM(H15:H17)</f>
        <v>0</v>
      </c>
      <c r="P15" s="2">
        <f>SUM(H13,H18,H29,H21)</f>
        <v>0</v>
      </c>
      <c r="Q15" s="2">
        <f t="shared" ref="Q15:Q30" si="3">O15-P15</f>
        <v>0</v>
      </c>
      <c r="R15" t="s">
        <v>19</v>
      </c>
      <c r="S15" s="10">
        <v>0</v>
      </c>
    </row>
    <row r="16" spans="2:19" x14ac:dyDescent="0.45">
      <c r="B16" s="9" t="s">
        <v>10</v>
      </c>
      <c r="C16" s="44" t="s">
        <v>12</v>
      </c>
      <c r="D16">
        <v>574.23699999999997</v>
      </c>
      <c r="E16" s="46">
        <f>INDEX(Tolls_and_check_facilities!$A$2:$I$17,MATCH(Medium_model!C16,Tolls_and_check_facilities!$A$2:$A$17,0),8)</f>
        <v>3.0317926724266787E-2</v>
      </c>
      <c r="F16" s="36">
        <f>INDEX(Tolls_and_check_facilities!$B$2:$G$17,MATCH(C16,Tolls_and_check_facilities!$A$2:$A$17,0),MATCH(Medium_model!$C$5,Tolls_and_check_facilities!$B$1:$G$1))</f>
        <v>178.80807127575528</v>
      </c>
      <c r="H16" s="39">
        <v>0</v>
      </c>
      <c r="I16" s="1"/>
      <c r="J16" s="42">
        <f t="shared" si="0"/>
        <v>0</v>
      </c>
      <c r="K16" s="42">
        <f t="shared" si="1"/>
        <v>0</v>
      </c>
      <c r="L16" s="41">
        <f t="shared" si="2"/>
        <v>0</v>
      </c>
      <c r="N16" s="9" t="s">
        <v>6</v>
      </c>
      <c r="O16" s="2">
        <f>SUM(H18:H20)</f>
        <v>1</v>
      </c>
      <c r="P16" s="2">
        <f>SUM(H14,H15,H24,H28)</f>
        <v>1</v>
      </c>
      <c r="Q16" s="2">
        <f t="shared" si="3"/>
        <v>0</v>
      </c>
      <c r="R16" t="s">
        <v>19</v>
      </c>
      <c r="S16" s="10">
        <v>0</v>
      </c>
    </row>
    <row r="17" spans="2:19" x14ac:dyDescent="0.45">
      <c r="B17" s="9" t="s">
        <v>10</v>
      </c>
      <c r="C17" s="44" t="s">
        <v>4</v>
      </c>
      <c r="D17">
        <v>1274.5909999999999</v>
      </c>
      <c r="E17" s="46">
        <f>INDEX(Tolls_and_check_facilities!$A$2:$I$17,MATCH(Medium_model!C17,Tolls_and_check_facilities!$A$2:$A$17,0),8)</f>
        <v>3.5269294398009278E-2</v>
      </c>
      <c r="F17" s="36">
        <f>INDEX(Tolls_and_check_facilities!$B$2:$G$17,MATCH(C17,Tolls_and_check_facilities!$A$2:$A$17,0),MATCH(Medium_model!$C$5,Tolls_and_check_facilities!$B$1:$G$1))</f>
        <v>194.36150926465351</v>
      </c>
      <c r="H17" s="39">
        <v>0</v>
      </c>
      <c r="I17" s="1"/>
      <c r="J17" s="42">
        <f t="shared" si="0"/>
        <v>0</v>
      </c>
      <c r="K17" s="42">
        <f t="shared" si="1"/>
        <v>0</v>
      </c>
      <c r="L17" s="41">
        <f t="shared" si="2"/>
        <v>0</v>
      </c>
      <c r="N17" s="9" t="s">
        <v>12</v>
      </c>
      <c r="O17" s="2">
        <f>SUM(H21:H23)</f>
        <v>0</v>
      </c>
      <c r="P17" s="2">
        <f>SUM(H16,H30,H34)</f>
        <v>0</v>
      </c>
      <c r="Q17" s="2">
        <f t="shared" si="3"/>
        <v>0</v>
      </c>
      <c r="R17" t="s">
        <v>19</v>
      </c>
      <c r="S17" s="10">
        <v>0</v>
      </c>
    </row>
    <row r="18" spans="2:19" x14ac:dyDescent="0.45">
      <c r="B18" s="9" t="s">
        <v>6</v>
      </c>
      <c r="C18" s="44" t="s">
        <v>10</v>
      </c>
      <c r="D18">
        <v>924.97199999999998</v>
      </c>
      <c r="E18" s="46">
        <f>INDEX(Tolls_and_check_facilities!$A$2:$I$17,MATCH(Medium_model!C18,Tolls_and_check_facilities!$A$2:$A$17,0),8)</f>
        <v>3.23243008494732E-2</v>
      </c>
      <c r="F18" s="36">
        <f>INDEX(Tolls_and_check_facilities!$B$2:$G$17,MATCH(C18,Tolls_and_check_facilities!$A$2:$A$17,0),MATCH(Medium_model!$C$5,Tolls_and_check_facilities!$B$1:$G$1))</f>
        <v>126.532</v>
      </c>
      <c r="H18" s="39">
        <v>0</v>
      </c>
      <c r="I18" s="1"/>
      <c r="J18" s="42">
        <f t="shared" si="0"/>
        <v>0</v>
      </c>
      <c r="K18" s="42">
        <f t="shared" si="1"/>
        <v>0</v>
      </c>
      <c r="L18" s="41">
        <f t="shared" si="2"/>
        <v>0</v>
      </c>
      <c r="N18" s="9" t="s">
        <v>8</v>
      </c>
      <c r="O18" s="2">
        <f>SUM(H24:H27)</f>
        <v>0</v>
      </c>
      <c r="P18" s="2">
        <f>SUM(H20,H38,H44,H58)</f>
        <v>0</v>
      </c>
      <c r="Q18" s="2">
        <f t="shared" si="3"/>
        <v>0</v>
      </c>
      <c r="R18" t="s">
        <v>19</v>
      </c>
      <c r="S18" s="10">
        <v>0</v>
      </c>
    </row>
    <row r="19" spans="2:19" x14ac:dyDescent="0.45">
      <c r="B19" s="9" t="s">
        <v>6</v>
      </c>
      <c r="C19" s="44" t="s">
        <v>4</v>
      </c>
      <c r="D19">
        <v>670.11300000000006</v>
      </c>
      <c r="E19" s="46">
        <f>INDEX(Tolls_and_check_facilities!$A$2:$I$17,MATCH(Medium_model!C19,Tolls_and_check_facilities!$A$2:$A$17,0),8)</f>
        <v>3.5269294398009278E-2</v>
      </c>
      <c r="F19" s="36">
        <f>INDEX(Tolls_and_check_facilities!$B$2:$G$17,MATCH(C19,Tolls_and_check_facilities!$A$2:$A$17,0),MATCH(Medium_model!$C$5,Tolls_and_check_facilities!$B$1:$G$1))</f>
        <v>194.36150926465351</v>
      </c>
      <c r="H19" s="39">
        <v>1</v>
      </c>
      <c r="I19" s="1"/>
      <c r="J19" s="42">
        <f t="shared" si="0"/>
        <v>70.538588796018558</v>
      </c>
      <c r="K19" s="42">
        <f t="shared" si="1"/>
        <v>194.36150926465351</v>
      </c>
      <c r="L19" s="41">
        <f t="shared" si="2"/>
        <v>181.60062300000004</v>
      </c>
      <c r="N19" s="9" t="s">
        <v>4</v>
      </c>
      <c r="O19" s="2">
        <f>SUM(H28:H33)</f>
        <v>1</v>
      </c>
      <c r="P19" s="2">
        <f>SUM(H17,H19,H22,H37,H52,H39)</f>
        <v>1</v>
      </c>
      <c r="Q19" s="2">
        <f t="shared" si="3"/>
        <v>0</v>
      </c>
      <c r="R19" t="s">
        <v>19</v>
      </c>
      <c r="S19" s="10">
        <v>0</v>
      </c>
    </row>
    <row r="20" spans="2:19" x14ac:dyDescent="0.45">
      <c r="B20" s="9" t="s">
        <v>6</v>
      </c>
      <c r="C20" s="44" t="s">
        <v>8</v>
      </c>
      <c r="D20">
        <v>696.58</v>
      </c>
      <c r="E20" s="46">
        <f>INDEX(Tolls_and_check_facilities!$A$2:$I$17,MATCH(Medium_model!C20,Tolls_and_check_facilities!$A$2:$A$17,0),8)</f>
        <v>6.9000000000000006E-2</v>
      </c>
      <c r="F20" s="36">
        <f>INDEX(Tolls_and_check_facilities!$B$2:$G$17,MATCH(C20,Tolls_and_check_facilities!$A$2:$A$17,0),MATCH(Medium_model!$C$5,Tolls_and_check_facilities!$B$1:$G$1))</f>
        <v>218.53067167106138</v>
      </c>
      <c r="H20" s="39">
        <v>0</v>
      </c>
      <c r="I20" s="1"/>
      <c r="J20" s="42">
        <f t="shared" si="0"/>
        <v>0</v>
      </c>
      <c r="K20" s="42">
        <f t="shared" si="1"/>
        <v>0</v>
      </c>
      <c r="L20" s="41">
        <f t="shared" si="2"/>
        <v>0</v>
      </c>
      <c r="N20" s="9" t="s">
        <v>13</v>
      </c>
      <c r="O20" s="2">
        <f>SUM(H34:H37)</f>
        <v>0</v>
      </c>
      <c r="P20" s="2">
        <f>SUM(H23,H31,H48,H53)</f>
        <v>0</v>
      </c>
      <c r="Q20" s="2">
        <f t="shared" si="3"/>
        <v>0</v>
      </c>
      <c r="R20" t="s">
        <v>19</v>
      </c>
      <c r="S20" s="10">
        <v>0</v>
      </c>
    </row>
    <row r="21" spans="2:19" x14ac:dyDescent="0.45">
      <c r="B21" s="9" t="s">
        <v>12</v>
      </c>
      <c r="C21" s="44" t="s">
        <v>10</v>
      </c>
      <c r="D21">
        <v>574.23699999999997</v>
      </c>
      <c r="E21" s="46">
        <f>INDEX(Tolls_and_check_facilities!$A$2:$I$17,MATCH(Medium_model!C21,Tolls_and_check_facilities!$A$2:$A$17,0),8)</f>
        <v>3.23243008494732E-2</v>
      </c>
      <c r="F21" s="36">
        <f>INDEX(Tolls_and_check_facilities!$B$2:$G$17,MATCH(C21,Tolls_and_check_facilities!$A$2:$A$17,0),MATCH(Medium_model!$C$5,Tolls_and_check_facilities!$B$1:$G$1))</f>
        <v>126.532</v>
      </c>
      <c r="H21" s="39">
        <v>0</v>
      </c>
      <c r="I21" s="1"/>
      <c r="J21" s="42">
        <f t="shared" si="0"/>
        <v>0</v>
      </c>
      <c r="K21" s="42">
        <f t="shared" si="1"/>
        <v>0</v>
      </c>
      <c r="L21" s="41">
        <f t="shared" si="2"/>
        <v>0</v>
      </c>
      <c r="N21" s="9" t="s">
        <v>7</v>
      </c>
      <c r="O21" s="2">
        <f>SUM(H38:H42)</f>
        <v>1</v>
      </c>
      <c r="P21" s="2">
        <f>SUM(H25,H33,H43,H57,H69)</f>
        <v>1</v>
      </c>
      <c r="Q21" s="2">
        <f t="shared" si="3"/>
        <v>0</v>
      </c>
      <c r="R21" t="s">
        <v>19</v>
      </c>
      <c r="S21" s="10">
        <v>0</v>
      </c>
    </row>
    <row r="22" spans="2:19" x14ac:dyDescent="0.45">
      <c r="B22" s="9" t="s">
        <v>12</v>
      </c>
      <c r="C22" s="44" t="s">
        <v>4</v>
      </c>
      <c r="D22">
        <v>748.50099999999998</v>
      </c>
      <c r="E22" s="46">
        <f>INDEX(Tolls_and_check_facilities!$A$2:$I$17,MATCH(Medium_model!C22,Tolls_and_check_facilities!$A$2:$A$17,0),8)</f>
        <v>3.5269294398009278E-2</v>
      </c>
      <c r="F22" s="36">
        <f>INDEX(Tolls_and_check_facilities!$B$2:$G$17,MATCH(C22,Tolls_and_check_facilities!$A$2:$A$17,0),MATCH(Medium_model!$C$5,Tolls_and_check_facilities!$B$1:$G$1))</f>
        <v>194.36150926465351</v>
      </c>
      <c r="H22" s="39">
        <v>0</v>
      </c>
      <c r="I22" s="1"/>
      <c r="J22" s="42">
        <f t="shared" si="0"/>
        <v>0</v>
      </c>
      <c r="K22" s="42">
        <f t="shared" si="1"/>
        <v>0</v>
      </c>
      <c r="L22" s="41">
        <f t="shared" si="2"/>
        <v>0</v>
      </c>
      <c r="N22" s="9" t="s">
        <v>5</v>
      </c>
      <c r="O22" s="2">
        <f>SUM(H43:H47)</f>
        <v>0</v>
      </c>
      <c r="P22" s="2">
        <f>SUM(H26,H42,H59,H70,H74)</f>
        <v>0</v>
      </c>
      <c r="Q22" s="2">
        <f t="shared" si="3"/>
        <v>0</v>
      </c>
      <c r="R22" t="s">
        <v>19</v>
      </c>
      <c r="S22" s="10">
        <v>0</v>
      </c>
    </row>
    <row r="23" spans="2:19" x14ac:dyDescent="0.45">
      <c r="B23" s="9" t="s">
        <v>12</v>
      </c>
      <c r="C23" s="44" t="s">
        <v>13</v>
      </c>
      <c r="D23">
        <v>361.80700000000002</v>
      </c>
      <c r="E23" s="46">
        <f>INDEX(Tolls_and_check_facilities!$A$2:$I$17,MATCH(Medium_model!C23,Tolls_and_check_facilities!$A$2:$A$17,0),8)</f>
        <v>2.0223518774413161E-2</v>
      </c>
      <c r="F23" s="36">
        <f>INDEX(Tolls_and_check_facilities!$B$2:$G$17,MATCH(C23,Tolls_and_check_facilities!$A$2:$A$17,0),MATCH(Medium_model!$C$5,Tolls_and_check_facilities!$B$1:$G$1))</f>
        <v>200.8250291334958</v>
      </c>
      <c r="H23" s="39">
        <v>0</v>
      </c>
      <c r="I23" s="1"/>
      <c r="J23" s="42">
        <f t="shared" si="0"/>
        <v>0</v>
      </c>
      <c r="K23" s="42">
        <f t="shared" si="1"/>
        <v>0</v>
      </c>
      <c r="L23" s="41">
        <f t="shared" si="2"/>
        <v>0</v>
      </c>
      <c r="N23" s="9" t="s">
        <v>33</v>
      </c>
      <c r="O23" s="2">
        <f>SUM(H48:H51)</f>
        <v>0</v>
      </c>
      <c r="P23" s="2">
        <f>SUM(H35,H54,H61,H64)</f>
        <v>0</v>
      </c>
      <c r="Q23" s="2">
        <f t="shared" si="3"/>
        <v>0</v>
      </c>
      <c r="R23" t="s">
        <v>19</v>
      </c>
      <c r="S23" s="10">
        <v>0</v>
      </c>
    </row>
    <row r="24" spans="2:19" x14ac:dyDescent="0.45">
      <c r="B24" s="9" t="s">
        <v>8</v>
      </c>
      <c r="C24" s="44" t="s">
        <v>6</v>
      </c>
      <c r="D24">
        <v>696.58</v>
      </c>
      <c r="E24" s="46">
        <f>INDEX(Tolls_and_check_facilities!$A$2:$I$17,MATCH(Medium_model!C24,Tolls_and_check_facilities!$A$2:$A$17,0),8)</f>
        <v>5.6000000000000001E-2</v>
      </c>
      <c r="F24" s="36">
        <f>INDEX(Tolls_and_check_facilities!$B$2:$G$17,MATCH(C24,Tolls_and_check_facilities!$A$2:$A$17,0),MATCH(Medium_model!$C$5,Tolls_and_check_facilities!$B$1:$G$1))</f>
        <v>163</v>
      </c>
      <c r="H24" s="39">
        <v>0</v>
      </c>
      <c r="I24" s="1"/>
      <c r="J24" s="42">
        <f t="shared" si="0"/>
        <v>0</v>
      </c>
      <c r="K24" s="42">
        <f t="shared" si="1"/>
        <v>0</v>
      </c>
      <c r="L24" s="41">
        <f t="shared" si="2"/>
        <v>0</v>
      </c>
      <c r="N24" s="9" t="s">
        <v>14</v>
      </c>
      <c r="O24" s="2">
        <f>SUM(H52:H57)</f>
        <v>0</v>
      </c>
      <c r="P24" s="2">
        <f>SUM(H32,H36,H40,H51,H65,H68)</f>
        <v>0</v>
      </c>
      <c r="Q24" s="2">
        <f t="shared" si="3"/>
        <v>0</v>
      </c>
      <c r="R24" t="s">
        <v>19</v>
      </c>
      <c r="S24" s="10">
        <v>0</v>
      </c>
    </row>
    <row r="25" spans="2:19" x14ac:dyDescent="0.45">
      <c r="B25" s="9" t="s">
        <v>8</v>
      </c>
      <c r="C25" s="44" t="s">
        <v>7</v>
      </c>
      <c r="D25">
        <v>917.54200000000003</v>
      </c>
      <c r="E25" s="46">
        <f>INDEX(Tolls_and_check_facilities!$A$2:$I$17,MATCH(Medium_model!C25,Tolls_and_check_facilities!$A$2:$A$17,0),8)</f>
        <v>3.4000000000000002E-2</v>
      </c>
      <c r="F25" s="36">
        <f>INDEX(Tolls_and_check_facilities!$B$2:$G$17,MATCH(C25,Tolls_and_check_facilities!$A$2:$A$17,0),MATCH(Medium_model!$C$5,Tolls_and_check_facilities!$B$1:$G$1))</f>
        <v>152.12069263071177</v>
      </c>
      <c r="H25" s="39">
        <v>0</v>
      </c>
      <c r="I25" s="1"/>
      <c r="J25" s="42">
        <f t="shared" si="0"/>
        <v>0</v>
      </c>
      <c r="K25" s="42">
        <f t="shared" si="1"/>
        <v>0</v>
      </c>
      <c r="L25" s="41">
        <f t="shared" si="2"/>
        <v>0</v>
      </c>
      <c r="N25" s="9" t="s">
        <v>3</v>
      </c>
      <c r="O25" s="2">
        <f>SUM(H58:H60)</f>
        <v>0</v>
      </c>
      <c r="P25" s="2">
        <f>SUM(H27,H47,H73)</f>
        <v>0</v>
      </c>
      <c r="Q25" s="2">
        <f t="shared" si="3"/>
        <v>0</v>
      </c>
      <c r="R25" t="s">
        <v>19</v>
      </c>
      <c r="S25" s="10">
        <v>0</v>
      </c>
    </row>
    <row r="26" spans="2:19" x14ac:dyDescent="0.45">
      <c r="B26" s="9" t="s">
        <v>8</v>
      </c>
      <c r="C26" s="44" t="s">
        <v>5</v>
      </c>
      <c r="D26">
        <v>1109.865</v>
      </c>
      <c r="E26" s="46">
        <f>INDEX(Tolls_and_check_facilities!$A$2:$I$17,MATCH(Medium_model!C26,Tolls_and_check_facilities!$A$2:$A$17,0),8)</f>
        <v>8.5000000000000006E-2</v>
      </c>
      <c r="F26" s="36">
        <f>INDEX(Tolls_and_check_facilities!$B$2:$G$17,MATCH(C26,Tolls_and_check_facilities!$A$2:$A$17,0),MATCH(Medium_model!$C$5,Tolls_and_check_facilities!$B$1:$G$1))</f>
        <v>204.30716074044784</v>
      </c>
      <c r="H26" s="39">
        <v>0</v>
      </c>
      <c r="I26" s="1"/>
      <c r="J26" s="42">
        <f t="shared" si="0"/>
        <v>0</v>
      </c>
      <c r="K26" s="42">
        <f t="shared" si="1"/>
        <v>0</v>
      </c>
      <c r="L26" s="41">
        <f t="shared" si="2"/>
        <v>0</v>
      </c>
      <c r="N26" s="9" t="s">
        <v>35</v>
      </c>
      <c r="O26" s="2">
        <f>SUM(H55)</f>
        <v>0</v>
      </c>
      <c r="P26" s="2">
        <f>SUM(H49,H63)</f>
        <v>0</v>
      </c>
      <c r="Q26" s="2">
        <f t="shared" si="3"/>
        <v>0</v>
      </c>
      <c r="R26" t="s">
        <v>19</v>
      </c>
      <c r="S26" s="10">
        <v>0</v>
      </c>
    </row>
    <row r="27" spans="2:19" x14ac:dyDescent="0.45">
      <c r="B27" s="9" t="s">
        <v>8</v>
      </c>
      <c r="C27" s="44" t="s">
        <v>3</v>
      </c>
      <c r="D27">
        <v>1185.5920000000001</v>
      </c>
      <c r="E27" s="46">
        <f>INDEX(Tolls_and_check_facilities!$A$2:$I$17,MATCH(Medium_model!C27,Tolls_and_check_facilities!$A$2:$A$17,0),8)</f>
        <v>0.155</v>
      </c>
      <c r="F27" s="36">
        <f>INDEX(Tolls_and_check_facilities!$B$2:$G$17,MATCH(C27,Tolls_and_check_facilities!$A$2:$A$17,0),MATCH(Medium_model!$C$5,Tolls_and_check_facilities!$B$1:$G$1))</f>
        <v>424.67862871133099</v>
      </c>
      <c r="H27" s="39">
        <v>0</v>
      </c>
      <c r="I27" s="1"/>
      <c r="J27" s="42">
        <f t="shared" si="0"/>
        <v>0</v>
      </c>
      <c r="K27" s="42">
        <f t="shared" si="1"/>
        <v>0</v>
      </c>
      <c r="L27" s="41">
        <f t="shared" si="2"/>
        <v>0</v>
      </c>
      <c r="N27" s="9" t="s">
        <v>36</v>
      </c>
      <c r="O27" s="2">
        <f>SUM(H63:H66)</f>
        <v>0</v>
      </c>
      <c r="P27" s="2">
        <f>SUM(H62,H50,H55,H67)</f>
        <v>0</v>
      </c>
      <c r="Q27" s="2">
        <f t="shared" si="3"/>
        <v>0</v>
      </c>
      <c r="R27" t="s">
        <v>19</v>
      </c>
      <c r="S27" s="10">
        <v>0</v>
      </c>
    </row>
    <row r="28" spans="2:19" x14ac:dyDescent="0.45">
      <c r="B28" s="9" t="s">
        <v>4</v>
      </c>
      <c r="C28" s="44" t="s">
        <v>6</v>
      </c>
      <c r="D28">
        <v>670.11300000000006</v>
      </c>
      <c r="E28" s="46">
        <f>INDEX(Tolls_and_check_facilities!$A$2:$I$17,MATCH(Medium_model!C28,Tolls_and_check_facilities!$A$2:$A$17,0),8)</f>
        <v>5.6000000000000001E-2</v>
      </c>
      <c r="F28" s="36">
        <f>INDEX(Tolls_and_check_facilities!$B$2:$G$17,MATCH(C28,Tolls_and_check_facilities!$A$2:$A$17,0),MATCH(Medium_model!$C$5,Tolls_and_check_facilities!$B$1:$G$1))</f>
        <v>163</v>
      </c>
      <c r="H28" s="39">
        <v>0</v>
      </c>
      <c r="I28" s="1"/>
      <c r="J28" s="42">
        <f t="shared" si="0"/>
        <v>0</v>
      </c>
      <c r="K28" s="42">
        <f t="shared" si="1"/>
        <v>0</v>
      </c>
      <c r="L28" s="41">
        <f t="shared" si="2"/>
        <v>0</v>
      </c>
      <c r="N28" s="9" t="s">
        <v>34</v>
      </c>
      <c r="O28" s="2">
        <f>SUM(H67:H71,H75)</f>
        <v>1</v>
      </c>
      <c r="P28" s="2">
        <f>SUM(H66,H41,H45,H56,H72)</f>
        <v>1</v>
      </c>
      <c r="Q28" s="2">
        <f t="shared" si="3"/>
        <v>0</v>
      </c>
      <c r="R28" t="s">
        <v>19</v>
      </c>
      <c r="S28" s="10">
        <v>0</v>
      </c>
    </row>
    <row r="29" spans="2:19" x14ac:dyDescent="0.45">
      <c r="B29" s="9" t="s">
        <v>4</v>
      </c>
      <c r="C29" s="44" t="s">
        <v>10</v>
      </c>
      <c r="D29">
        <v>1274.5909999999999</v>
      </c>
      <c r="E29" s="46">
        <f>INDEX(Tolls_and_check_facilities!$A$2:$I$17,MATCH(Medium_model!C29,Tolls_and_check_facilities!$A$2:$A$17,0),8)</f>
        <v>3.23243008494732E-2</v>
      </c>
      <c r="F29" s="36">
        <f>INDEX(Tolls_and_check_facilities!$B$2:$G$17,MATCH(C29,Tolls_and_check_facilities!$A$2:$A$17,0),MATCH(Medium_model!$C$5,Tolls_and_check_facilities!$B$1:$G$1))</f>
        <v>126.532</v>
      </c>
      <c r="H29" s="39">
        <v>0</v>
      </c>
      <c r="I29" s="1"/>
      <c r="J29" s="42">
        <f t="shared" si="0"/>
        <v>0</v>
      </c>
      <c r="K29" s="42">
        <f t="shared" si="1"/>
        <v>0</v>
      </c>
      <c r="L29" s="41">
        <f t="shared" si="2"/>
        <v>0</v>
      </c>
      <c r="N29" s="9" t="s">
        <v>9</v>
      </c>
      <c r="O29" s="2">
        <f>SUM(H72,H73,H74,H76)</f>
        <v>0</v>
      </c>
      <c r="P29" s="2">
        <f>SUM(H60,H71,H46)</f>
        <v>0</v>
      </c>
      <c r="Q29" s="2">
        <f t="shared" si="3"/>
        <v>0</v>
      </c>
      <c r="R29" t="s">
        <v>19</v>
      </c>
      <c r="S29" s="10">
        <v>0</v>
      </c>
    </row>
    <row r="30" spans="2:19" ht="14.65" thickBot="1" x14ac:dyDescent="0.5">
      <c r="B30" s="9" t="s">
        <v>4</v>
      </c>
      <c r="C30" s="44" t="s">
        <v>12</v>
      </c>
      <c r="D30">
        <v>748.50099999999998</v>
      </c>
      <c r="E30" s="46">
        <f>INDEX(Tolls_and_check_facilities!$A$2:$I$17,MATCH(Medium_model!C30,Tolls_and_check_facilities!$A$2:$A$17,0),8)</f>
        <v>3.0317926724266787E-2</v>
      </c>
      <c r="F30" s="36">
        <f>INDEX(Tolls_and_check_facilities!$B$2:$G$17,MATCH(C30,Tolls_and_check_facilities!$A$2:$A$17,0),MATCH(Medium_model!$C$5,Tolls_and_check_facilities!$B$1:$G$1))</f>
        <v>178.80807127575528</v>
      </c>
      <c r="H30" s="39">
        <v>0</v>
      </c>
      <c r="I30" s="1"/>
      <c r="J30" s="42">
        <f t="shared" si="0"/>
        <v>0</v>
      </c>
      <c r="K30" s="42">
        <f t="shared" si="1"/>
        <v>0</v>
      </c>
      <c r="L30" s="41">
        <f t="shared" si="2"/>
        <v>0</v>
      </c>
      <c r="N30" s="12" t="s">
        <v>37</v>
      </c>
      <c r="O30" s="13">
        <v>0</v>
      </c>
      <c r="P30" s="13">
        <f>SUM(H75,H76)</f>
        <v>1</v>
      </c>
      <c r="Q30" s="13">
        <f t="shared" si="3"/>
        <v>-1</v>
      </c>
      <c r="R30" s="5" t="s">
        <v>19</v>
      </c>
      <c r="S30" s="11">
        <v>-1</v>
      </c>
    </row>
    <row r="31" spans="2:19" x14ac:dyDescent="0.45">
      <c r="B31" s="9" t="s">
        <v>4</v>
      </c>
      <c r="C31" s="44" t="s">
        <v>13</v>
      </c>
      <c r="D31">
        <v>620.29499999999996</v>
      </c>
      <c r="E31" s="46">
        <f>INDEX(Tolls_and_check_facilities!$A$2:$I$17,MATCH(Medium_model!C31,Tolls_and_check_facilities!$A$2:$A$17,0),8)</f>
        <v>2.0223518774413161E-2</v>
      </c>
      <c r="F31" s="36">
        <f>INDEX(Tolls_and_check_facilities!$B$2:$G$17,MATCH(C31,Tolls_and_check_facilities!$A$2:$A$17,0),MATCH(Medium_model!$C$5,Tolls_and_check_facilities!$B$1:$G$1))</f>
        <v>200.8250291334958</v>
      </c>
      <c r="H31" s="39">
        <v>0</v>
      </c>
      <c r="J31" s="42">
        <f t="shared" si="0"/>
        <v>0</v>
      </c>
      <c r="K31" s="42">
        <f t="shared" si="1"/>
        <v>0</v>
      </c>
      <c r="L31" s="41">
        <f t="shared" si="2"/>
        <v>0</v>
      </c>
    </row>
    <row r="32" spans="2:19" x14ac:dyDescent="0.45">
      <c r="B32" s="9" t="s">
        <v>4</v>
      </c>
      <c r="C32" s="44" t="s">
        <v>14</v>
      </c>
      <c r="D32">
        <v>635.00800000000004</v>
      </c>
      <c r="E32" s="46">
        <f>INDEX(Tolls_and_check_facilities!$A$2:$I$17,MATCH(Medium_model!C32,Tolls_and_check_facilities!$A$2:$A$17,0),8)</f>
        <v>2.1049689911392055E-2</v>
      </c>
      <c r="F32" s="36">
        <f>INDEX(Tolls_and_check_facilities!$B$2:$G$17,MATCH(C32,Tolls_and_check_facilities!$A$2:$A$17,0),MATCH(Medium_model!$C$5,Tolls_and_check_facilities!$B$1:$G$1))</f>
        <v>117</v>
      </c>
      <c r="H32" s="39">
        <v>0</v>
      </c>
      <c r="J32" s="42">
        <f t="shared" si="0"/>
        <v>0</v>
      </c>
      <c r="K32" s="42">
        <f t="shared" si="1"/>
        <v>0</v>
      </c>
      <c r="L32" s="41">
        <f t="shared" si="2"/>
        <v>0</v>
      </c>
    </row>
    <row r="33" spans="2:12" x14ac:dyDescent="0.45">
      <c r="B33" s="9" t="s">
        <v>4</v>
      </c>
      <c r="C33" s="44" t="s">
        <v>7</v>
      </c>
      <c r="D33">
        <v>688.59400000000005</v>
      </c>
      <c r="E33" s="46">
        <f>INDEX(Tolls_and_check_facilities!$A$2:$I$17,MATCH(Medium_model!C33,Tolls_and_check_facilities!$A$2:$A$17,0),8)</f>
        <v>3.4000000000000002E-2</v>
      </c>
      <c r="F33" s="36">
        <f>INDEX(Tolls_and_check_facilities!$B$2:$G$17,MATCH(C33,Tolls_and_check_facilities!$A$2:$A$17,0),MATCH(Medium_model!$C$5,Tolls_and_check_facilities!$B$1:$G$1))</f>
        <v>152.12069263071177</v>
      </c>
      <c r="H33" s="39">
        <v>1</v>
      </c>
      <c r="J33" s="42">
        <f t="shared" si="0"/>
        <v>68</v>
      </c>
      <c r="K33" s="42">
        <f t="shared" si="1"/>
        <v>152.12069263071177</v>
      </c>
      <c r="L33" s="41">
        <f t="shared" si="2"/>
        <v>186.60897400000002</v>
      </c>
    </row>
    <row r="34" spans="2:12" x14ac:dyDescent="0.45">
      <c r="B34" s="9" t="s">
        <v>13</v>
      </c>
      <c r="C34" s="44" t="s">
        <v>12</v>
      </c>
      <c r="D34">
        <v>361.80700000000002</v>
      </c>
      <c r="E34" s="46">
        <f>INDEX(Tolls_and_check_facilities!$A$2:$I$17,MATCH(Medium_model!C34,Tolls_and_check_facilities!$A$2:$A$17,0),8)</f>
        <v>3.0317926724266787E-2</v>
      </c>
      <c r="F34" s="36">
        <f>INDEX(Tolls_and_check_facilities!$B$2:$G$17,MATCH(C34,Tolls_and_check_facilities!$A$2:$A$17,0),MATCH(Medium_model!$C$5,Tolls_and_check_facilities!$B$1:$G$1))</f>
        <v>178.80807127575528</v>
      </c>
      <c r="H34" s="39">
        <v>0</v>
      </c>
      <c r="J34" s="42">
        <f t="shared" si="0"/>
        <v>0</v>
      </c>
      <c r="K34" s="42">
        <f t="shared" si="1"/>
        <v>0</v>
      </c>
      <c r="L34" s="41">
        <f t="shared" si="2"/>
        <v>0</v>
      </c>
    </row>
    <row r="35" spans="2:12" x14ac:dyDescent="0.45">
      <c r="B35" s="9" t="s">
        <v>13</v>
      </c>
      <c r="C35" s="44" t="s">
        <v>33</v>
      </c>
      <c r="D35">
        <v>346.01900000000001</v>
      </c>
      <c r="E35" s="46">
        <f>INDEX(Tolls_and_check_facilities!$A$2:$I$17,MATCH(Medium_model!C35,Tolls_and_check_facilities!$A$2:$A$17,0),8)</f>
        <v>0.02</v>
      </c>
      <c r="F35" s="36">
        <f>INDEX(Tolls_and_check_facilities!$B$2:$G$17,MATCH(C35,Tolls_and_check_facilities!$A$2:$A$17,0),MATCH(Medium_model!$C$5,Tolls_and_check_facilities!$B$1:$G$1))</f>
        <v>99.423000000000002</v>
      </c>
      <c r="H35" s="39">
        <v>0</v>
      </c>
      <c r="J35" s="42">
        <f t="shared" si="0"/>
        <v>0</v>
      </c>
      <c r="K35" s="42">
        <f t="shared" si="1"/>
        <v>0</v>
      </c>
      <c r="L35" s="41">
        <f t="shared" si="2"/>
        <v>0</v>
      </c>
    </row>
    <row r="36" spans="2:12" x14ac:dyDescent="0.45">
      <c r="B36" s="9" t="s">
        <v>13</v>
      </c>
      <c r="C36" s="44" t="s">
        <v>14</v>
      </c>
      <c r="D36">
        <v>729.98599999999999</v>
      </c>
      <c r="E36" s="46">
        <f>INDEX(Tolls_and_check_facilities!$A$2:$I$17,MATCH(Medium_model!C36,Tolls_and_check_facilities!$A$2:$A$17,0),8)</f>
        <v>2.1049689911392055E-2</v>
      </c>
      <c r="F36" s="36">
        <f>INDEX(Tolls_and_check_facilities!$B$2:$G$17,MATCH(C36,Tolls_and_check_facilities!$A$2:$A$17,0),MATCH(Medium_model!$C$5,Tolls_and_check_facilities!$B$1:$G$1))</f>
        <v>117</v>
      </c>
      <c r="H36" s="39">
        <v>0</v>
      </c>
      <c r="J36" s="42">
        <f t="shared" si="0"/>
        <v>0</v>
      </c>
      <c r="K36" s="42">
        <f t="shared" si="1"/>
        <v>0</v>
      </c>
      <c r="L36" s="41">
        <f t="shared" si="2"/>
        <v>0</v>
      </c>
    </row>
    <row r="37" spans="2:12" x14ac:dyDescent="0.45">
      <c r="B37" s="9" t="s">
        <v>13</v>
      </c>
      <c r="C37" s="44" t="s">
        <v>4</v>
      </c>
      <c r="D37">
        <v>619.149</v>
      </c>
      <c r="E37" s="46">
        <f>INDEX(Tolls_and_check_facilities!$A$2:$I$17,MATCH(Medium_model!C37,Tolls_and_check_facilities!$A$2:$A$17,0),8)</f>
        <v>3.5269294398009278E-2</v>
      </c>
      <c r="F37" s="36">
        <f>INDEX(Tolls_and_check_facilities!$B$2:$G$17,MATCH(C37,Tolls_and_check_facilities!$A$2:$A$17,0),MATCH(Medium_model!$C$5,Tolls_and_check_facilities!$B$1:$G$1))</f>
        <v>194.36150926465351</v>
      </c>
      <c r="H37" s="39">
        <v>0</v>
      </c>
      <c r="J37" s="42">
        <f t="shared" si="0"/>
        <v>0</v>
      </c>
      <c r="K37" s="42">
        <f t="shared" si="1"/>
        <v>0</v>
      </c>
      <c r="L37" s="41">
        <f t="shared" si="2"/>
        <v>0</v>
      </c>
    </row>
    <row r="38" spans="2:12" x14ac:dyDescent="0.45">
      <c r="B38" s="9" t="s">
        <v>7</v>
      </c>
      <c r="C38" s="44" t="s">
        <v>8</v>
      </c>
      <c r="D38">
        <v>917.54200000000003</v>
      </c>
      <c r="E38" s="46">
        <f>INDEX(Tolls_and_check_facilities!$A$2:$I$17,MATCH(Medium_model!C38,Tolls_and_check_facilities!$A$2:$A$17,0),8)</f>
        <v>6.9000000000000006E-2</v>
      </c>
      <c r="F38" s="36">
        <f>INDEX(Tolls_and_check_facilities!$B$2:$G$17,MATCH(C38,Tolls_and_check_facilities!$A$2:$A$17,0),MATCH(Medium_model!$C$5,Tolls_and_check_facilities!$B$1:$G$1))</f>
        <v>218.53067167106138</v>
      </c>
      <c r="H38" s="39">
        <v>0</v>
      </c>
      <c r="J38" s="42">
        <f t="shared" si="0"/>
        <v>0</v>
      </c>
      <c r="K38" s="42">
        <f t="shared" si="1"/>
        <v>0</v>
      </c>
      <c r="L38" s="41">
        <f t="shared" si="2"/>
        <v>0</v>
      </c>
    </row>
    <row r="39" spans="2:12" x14ac:dyDescent="0.45">
      <c r="B39" s="9" t="s">
        <v>7</v>
      </c>
      <c r="C39" s="44" t="s">
        <v>4</v>
      </c>
      <c r="D39">
        <v>688.59400000000005</v>
      </c>
      <c r="E39" s="46">
        <f>INDEX(Tolls_and_check_facilities!$A$2:$I$17,MATCH(Medium_model!C39,Tolls_and_check_facilities!$A$2:$A$17,0),8)</f>
        <v>3.5269294398009278E-2</v>
      </c>
      <c r="F39" s="36">
        <f>INDEX(Tolls_and_check_facilities!$B$2:$G$17,MATCH(C39,Tolls_and_check_facilities!$A$2:$A$17,0),MATCH(Medium_model!$C$5,Tolls_and_check_facilities!$B$1:$G$1))</f>
        <v>194.36150926465351</v>
      </c>
      <c r="H39" s="39">
        <v>0</v>
      </c>
      <c r="J39" s="42">
        <f t="shared" si="0"/>
        <v>0</v>
      </c>
      <c r="K39" s="42">
        <f t="shared" si="1"/>
        <v>0</v>
      </c>
      <c r="L39" s="41">
        <f t="shared" si="2"/>
        <v>0</v>
      </c>
    </row>
    <row r="40" spans="2:12" x14ac:dyDescent="0.45">
      <c r="B40" s="9" t="s">
        <v>7</v>
      </c>
      <c r="C40" s="44" t="s">
        <v>14</v>
      </c>
      <c r="D40">
        <v>774.21100000000001</v>
      </c>
      <c r="E40" s="46">
        <f>INDEX(Tolls_and_check_facilities!$A$2:$I$17,MATCH(Medium_model!C40,Tolls_and_check_facilities!$A$2:$A$17,0),8)</f>
        <v>2.1049689911392055E-2</v>
      </c>
      <c r="F40" s="36">
        <f>INDEX(Tolls_and_check_facilities!$B$2:$G$17,MATCH(C40,Tolls_and_check_facilities!$A$2:$A$17,0),MATCH(Medium_model!$C$5,Tolls_and_check_facilities!$B$1:$G$1))</f>
        <v>117</v>
      </c>
      <c r="H40" s="39">
        <v>0</v>
      </c>
      <c r="J40" s="42">
        <f t="shared" si="0"/>
        <v>0</v>
      </c>
      <c r="K40" s="42">
        <f t="shared" si="1"/>
        <v>0</v>
      </c>
      <c r="L40" s="41">
        <f t="shared" si="2"/>
        <v>0</v>
      </c>
    </row>
    <row r="41" spans="2:12" x14ac:dyDescent="0.45">
      <c r="B41" s="9" t="s">
        <v>7</v>
      </c>
      <c r="C41" s="44" t="s">
        <v>34</v>
      </c>
      <c r="D41">
        <v>835.59199999999998</v>
      </c>
      <c r="E41" s="46">
        <f>INDEX(Tolls_and_check_facilities!$A$2:$I$17,MATCH(Medium_model!C41,Tolls_and_check_facilities!$A$2:$A$17,0),8)</f>
        <v>4.4999999999999998E-2</v>
      </c>
      <c r="F41" s="36">
        <f>INDEX(Tolls_and_check_facilities!$B$2:$G$17,MATCH(C41,Tolls_and_check_facilities!$A$2:$A$17,0),MATCH(Medium_model!$C$5,Tolls_and_check_facilities!$B$1:$G$1))</f>
        <v>187.09111724367872</v>
      </c>
      <c r="H41" s="39">
        <v>1</v>
      </c>
      <c r="J41" s="42">
        <f t="shared" si="0"/>
        <v>90</v>
      </c>
      <c r="K41" s="42">
        <f t="shared" si="1"/>
        <v>187.09111724367872</v>
      </c>
      <c r="L41" s="41">
        <f t="shared" si="2"/>
        <v>226.44543200000001</v>
      </c>
    </row>
    <row r="42" spans="2:12" x14ac:dyDescent="0.45">
      <c r="B42" s="9" t="s">
        <v>7</v>
      </c>
      <c r="C42" s="44" t="s">
        <v>5</v>
      </c>
      <c r="D42">
        <v>745.25599999999997</v>
      </c>
      <c r="E42" s="46">
        <f>INDEX(Tolls_and_check_facilities!$A$2:$I$17,MATCH(Medium_model!C42,Tolls_and_check_facilities!$A$2:$A$17,0),8)</f>
        <v>8.5000000000000006E-2</v>
      </c>
      <c r="F42" s="36">
        <f>INDEX(Tolls_and_check_facilities!$B$2:$G$17,MATCH(C42,Tolls_and_check_facilities!$A$2:$A$17,0),MATCH(Medium_model!$C$5,Tolls_and_check_facilities!$B$1:$G$1))</f>
        <v>204.30716074044784</v>
      </c>
      <c r="H42" s="39">
        <v>0</v>
      </c>
      <c r="J42" s="42">
        <f t="shared" si="0"/>
        <v>0</v>
      </c>
      <c r="K42" s="42">
        <f t="shared" si="1"/>
        <v>0</v>
      </c>
      <c r="L42" s="41">
        <f t="shared" si="2"/>
        <v>0</v>
      </c>
    </row>
    <row r="43" spans="2:12" x14ac:dyDescent="0.45">
      <c r="B43" s="9" t="s">
        <v>5</v>
      </c>
      <c r="C43" s="44" t="s">
        <v>7</v>
      </c>
      <c r="D43">
        <v>745.25599999999997</v>
      </c>
      <c r="E43" s="46">
        <f>INDEX(Tolls_and_check_facilities!$A$2:$I$17,MATCH(Medium_model!C43,Tolls_and_check_facilities!$A$2:$A$17,0),8)</f>
        <v>3.4000000000000002E-2</v>
      </c>
      <c r="F43" s="36">
        <f>INDEX(Tolls_and_check_facilities!$B$2:$G$17,MATCH(C43,Tolls_and_check_facilities!$A$2:$A$17,0),MATCH(Medium_model!$C$5,Tolls_and_check_facilities!$B$1:$G$1))</f>
        <v>152.12069263071177</v>
      </c>
      <c r="H43" s="39">
        <v>0</v>
      </c>
      <c r="J43" s="42">
        <f t="shared" si="0"/>
        <v>0</v>
      </c>
      <c r="K43" s="42">
        <f t="shared" si="1"/>
        <v>0</v>
      </c>
      <c r="L43" s="41">
        <f t="shared" si="2"/>
        <v>0</v>
      </c>
    </row>
    <row r="44" spans="2:12" x14ac:dyDescent="0.45">
      <c r="B44" s="9" t="s">
        <v>5</v>
      </c>
      <c r="C44" s="44" t="s">
        <v>8</v>
      </c>
      <c r="D44">
        <v>1109.865</v>
      </c>
      <c r="E44" s="46">
        <f>INDEX(Tolls_and_check_facilities!$A$2:$I$17,MATCH(Medium_model!C44,Tolls_and_check_facilities!$A$2:$A$17,0),8)</f>
        <v>6.9000000000000006E-2</v>
      </c>
      <c r="F44" s="36">
        <f>INDEX(Tolls_and_check_facilities!$B$2:$G$17,MATCH(C44,Tolls_and_check_facilities!$A$2:$A$17,0),MATCH(Medium_model!$C$5,Tolls_and_check_facilities!$B$1:$G$1))</f>
        <v>218.53067167106138</v>
      </c>
      <c r="H44" s="39">
        <v>0</v>
      </c>
      <c r="J44" s="42">
        <f t="shared" si="0"/>
        <v>0</v>
      </c>
      <c r="K44" s="42">
        <f t="shared" si="1"/>
        <v>0</v>
      </c>
      <c r="L44" s="41">
        <f t="shared" si="2"/>
        <v>0</v>
      </c>
    </row>
    <row r="45" spans="2:12" x14ac:dyDescent="0.45">
      <c r="B45" s="9" t="s">
        <v>5</v>
      </c>
      <c r="C45" s="44" t="s">
        <v>34</v>
      </c>
      <c r="D45">
        <v>777.04499999999996</v>
      </c>
      <c r="E45" s="46">
        <f>INDEX(Tolls_and_check_facilities!$A$2:$I$17,MATCH(Medium_model!C45,Tolls_and_check_facilities!$A$2:$A$17,0),8)</f>
        <v>4.4999999999999998E-2</v>
      </c>
      <c r="F45" s="36">
        <f>INDEX(Tolls_and_check_facilities!$B$2:$G$17,MATCH(C45,Tolls_and_check_facilities!$A$2:$A$17,0),MATCH(Medium_model!$C$5,Tolls_and_check_facilities!$B$1:$G$1))</f>
        <v>187.09111724367872</v>
      </c>
      <c r="H45" s="39">
        <v>0</v>
      </c>
      <c r="J45" s="42">
        <f t="shared" si="0"/>
        <v>0</v>
      </c>
      <c r="K45" s="42">
        <f t="shared" si="1"/>
        <v>0</v>
      </c>
      <c r="L45" s="41">
        <f t="shared" si="2"/>
        <v>0</v>
      </c>
    </row>
    <row r="46" spans="2:12" x14ac:dyDescent="0.45">
      <c r="B46" s="9" t="s">
        <v>5</v>
      </c>
      <c r="C46" s="44" t="s">
        <v>9</v>
      </c>
      <c r="D46">
        <v>912.58799999999997</v>
      </c>
      <c r="E46" s="46">
        <f>INDEX(Tolls_and_check_facilities!$A$2:$I$17,MATCH(Medium_model!C46,Tolls_and_check_facilities!$A$2:$A$17,0),8)</f>
        <v>0.12239999999999999</v>
      </c>
      <c r="F46" s="36">
        <f>INDEX(Tolls_and_check_facilities!$B$2:$G$17,MATCH(C46,Tolls_and_check_facilities!$A$2:$A$17,0),MATCH(Medium_model!$C$5,Tolls_and_check_facilities!$B$1:$G$1))</f>
        <v>206.89819099359644</v>
      </c>
      <c r="H46" s="39">
        <v>0</v>
      </c>
      <c r="J46" s="42">
        <f t="shared" si="0"/>
        <v>0</v>
      </c>
      <c r="K46" s="42">
        <f t="shared" si="1"/>
        <v>0</v>
      </c>
      <c r="L46" s="41">
        <f t="shared" si="2"/>
        <v>0</v>
      </c>
    </row>
    <row r="47" spans="2:12" x14ac:dyDescent="0.45">
      <c r="B47" s="9" t="s">
        <v>5</v>
      </c>
      <c r="C47" s="44" t="s">
        <v>3</v>
      </c>
      <c r="D47">
        <v>860.53200000000004</v>
      </c>
      <c r="E47" s="46">
        <f>INDEX(Tolls_and_check_facilities!$A$2:$I$17,MATCH(Medium_model!C47,Tolls_and_check_facilities!$A$2:$A$17,0),8)</f>
        <v>0.155</v>
      </c>
      <c r="F47" s="36">
        <f>INDEX(Tolls_and_check_facilities!$B$2:$G$17,MATCH(C47,Tolls_and_check_facilities!$A$2:$A$17,0),MATCH(Medium_model!$C$5,Tolls_and_check_facilities!$B$1:$G$1))</f>
        <v>424.67862871133099</v>
      </c>
      <c r="H47" s="39">
        <v>0</v>
      </c>
      <c r="J47" s="42">
        <f t="shared" si="0"/>
        <v>0</v>
      </c>
      <c r="K47" s="42">
        <f t="shared" si="1"/>
        <v>0</v>
      </c>
      <c r="L47" s="41">
        <f t="shared" si="2"/>
        <v>0</v>
      </c>
    </row>
    <row r="48" spans="2:12" x14ac:dyDescent="0.45">
      <c r="B48" s="9" t="s">
        <v>33</v>
      </c>
      <c r="C48" s="44" t="s">
        <v>13</v>
      </c>
      <c r="D48">
        <v>346.01900000000001</v>
      </c>
      <c r="E48" s="46">
        <f>INDEX(Tolls_and_check_facilities!$A$2:$I$17,MATCH(Medium_model!C48,Tolls_and_check_facilities!$A$2:$A$17,0),8)</f>
        <v>2.0223518774413161E-2</v>
      </c>
      <c r="F48" s="36">
        <f>INDEX(Tolls_and_check_facilities!$B$2:$G$17,MATCH(C48,Tolls_and_check_facilities!$A$2:$A$17,0),MATCH(Medium_model!$C$5,Tolls_and_check_facilities!$B$1:$G$1))</f>
        <v>200.8250291334958</v>
      </c>
      <c r="H48" s="39">
        <v>0</v>
      </c>
      <c r="J48" s="42">
        <f t="shared" si="0"/>
        <v>0</v>
      </c>
      <c r="K48" s="42">
        <f t="shared" si="1"/>
        <v>0</v>
      </c>
      <c r="L48" s="41">
        <f t="shared" si="2"/>
        <v>0</v>
      </c>
    </row>
    <row r="49" spans="2:12" x14ac:dyDescent="0.45">
      <c r="B49" s="9" t="s">
        <v>33</v>
      </c>
      <c r="C49" s="44" t="s">
        <v>35</v>
      </c>
      <c r="D49">
        <v>517.96500000000003</v>
      </c>
      <c r="E49" s="46">
        <f>INDEX(Tolls_and_check_facilities!$A$2:$I$17,MATCH(Medium_model!C49,Tolls_and_check_facilities!$A$2:$A$17,0),8)</f>
        <v>1.7000000000000001E-2</v>
      </c>
      <c r="F49" s="36">
        <f>INDEX(Tolls_and_check_facilities!$B$2:$G$17,MATCH(C49,Tolls_and_check_facilities!$A$2:$A$17,0),MATCH(Medium_model!$C$5,Tolls_and_check_facilities!$B$1:$G$1))</f>
        <v>101.27500000000001</v>
      </c>
      <c r="H49" s="39">
        <v>0</v>
      </c>
      <c r="J49" s="42">
        <f t="shared" si="0"/>
        <v>0</v>
      </c>
      <c r="K49" s="42">
        <f t="shared" si="1"/>
        <v>0</v>
      </c>
      <c r="L49" s="41">
        <f t="shared" si="2"/>
        <v>0</v>
      </c>
    </row>
    <row r="50" spans="2:12" x14ac:dyDescent="0.45">
      <c r="B50" s="9" t="s">
        <v>33</v>
      </c>
      <c r="C50" s="44" t="s">
        <v>36</v>
      </c>
      <c r="D50">
        <v>1066.8989999999999</v>
      </c>
      <c r="E50" s="46">
        <f>INDEX(Tolls_and_check_facilities!$A$2:$I$17,MATCH(Medium_model!C50,Tolls_and_check_facilities!$A$2:$A$17,0),8)</f>
        <v>9.2999999999999999E-2</v>
      </c>
      <c r="F50" s="36">
        <f>INDEX(Tolls_and_check_facilities!$B$2:$G$17,MATCH(C50,Tolls_and_check_facilities!$A$2:$A$17,0),MATCH(Medium_model!$C$5,Tolls_and_check_facilities!$B$1:$G$1))</f>
        <v>203.70926743535321</v>
      </c>
      <c r="H50" s="39">
        <v>0</v>
      </c>
      <c r="J50" s="42">
        <f t="shared" si="0"/>
        <v>0</v>
      </c>
      <c r="K50" s="42">
        <f t="shared" si="1"/>
        <v>0</v>
      </c>
      <c r="L50" s="41">
        <f t="shared" si="2"/>
        <v>0</v>
      </c>
    </row>
    <row r="51" spans="2:12" x14ac:dyDescent="0.45">
      <c r="B51" s="9" t="s">
        <v>33</v>
      </c>
      <c r="C51" s="44" t="s">
        <v>14</v>
      </c>
      <c r="D51">
        <v>802.93299999999999</v>
      </c>
      <c r="E51" s="46">
        <f>INDEX(Tolls_and_check_facilities!$A$2:$I$17,MATCH(Medium_model!C51,Tolls_and_check_facilities!$A$2:$A$17,0),8)</f>
        <v>2.1049689911392055E-2</v>
      </c>
      <c r="F51" s="36">
        <f>INDEX(Tolls_and_check_facilities!$B$2:$G$17,MATCH(C51,Tolls_and_check_facilities!$A$2:$A$17,0),MATCH(Medium_model!$C$5,Tolls_and_check_facilities!$B$1:$G$1))</f>
        <v>117</v>
      </c>
      <c r="H51" s="39">
        <v>0</v>
      </c>
      <c r="J51" s="42">
        <f t="shared" si="0"/>
        <v>0</v>
      </c>
      <c r="K51" s="42">
        <f t="shared" si="1"/>
        <v>0</v>
      </c>
      <c r="L51" s="41">
        <f t="shared" si="2"/>
        <v>0</v>
      </c>
    </row>
    <row r="52" spans="2:12" x14ac:dyDescent="0.45">
      <c r="B52" s="9" t="s">
        <v>14</v>
      </c>
      <c r="C52" s="44" t="s">
        <v>4</v>
      </c>
      <c r="D52">
        <v>635.00800000000004</v>
      </c>
      <c r="E52" s="46">
        <f>INDEX(Tolls_and_check_facilities!$A$2:$I$17,MATCH(Medium_model!C52,Tolls_and_check_facilities!$A$2:$A$17,0),8)</f>
        <v>3.5269294398009278E-2</v>
      </c>
      <c r="F52" s="36">
        <f>INDEX(Tolls_and_check_facilities!$B$2:$G$17,MATCH(C52,Tolls_and_check_facilities!$A$2:$A$17,0),MATCH(Medium_model!$C$5,Tolls_and_check_facilities!$B$1:$G$1))</f>
        <v>194.36150926465351</v>
      </c>
      <c r="H52" s="39">
        <v>0</v>
      </c>
      <c r="J52" s="42">
        <f t="shared" si="0"/>
        <v>0</v>
      </c>
      <c r="K52" s="42">
        <f t="shared" si="1"/>
        <v>0</v>
      </c>
      <c r="L52" s="41">
        <f t="shared" si="2"/>
        <v>0</v>
      </c>
    </row>
    <row r="53" spans="2:12" x14ac:dyDescent="0.45">
      <c r="B53" s="9" t="s">
        <v>14</v>
      </c>
      <c r="C53" s="44" t="s">
        <v>13</v>
      </c>
      <c r="D53">
        <v>729.98599999999999</v>
      </c>
      <c r="E53" s="46">
        <f>INDEX(Tolls_and_check_facilities!$A$2:$I$17,MATCH(Medium_model!C53,Tolls_and_check_facilities!$A$2:$A$17,0),8)</f>
        <v>2.0223518774413161E-2</v>
      </c>
      <c r="F53" s="36">
        <f>INDEX(Tolls_and_check_facilities!$B$2:$G$17,MATCH(C53,Tolls_and_check_facilities!$A$2:$A$17,0),MATCH(Medium_model!$C$5,Tolls_and_check_facilities!$B$1:$G$1))</f>
        <v>200.8250291334958</v>
      </c>
      <c r="H53" s="39">
        <v>0</v>
      </c>
      <c r="J53" s="42">
        <f t="shared" si="0"/>
        <v>0</v>
      </c>
      <c r="K53" s="42">
        <f t="shared" si="1"/>
        <v>0</v>
      </c>
      <c r="L53" s="41">
        <f t="shared" si="2"/>
        <v>0</v>
      </c>
    </row>
    <row r="54" spans="2:12" x14ac:dyDescent="0.45">
      <c r="B54" s="9" t="s">
        <v>14</v>
      </c>
      <c r="C54" s="44" t="s">
        <v>33</v>
      </c>
      <c r="D54">
        <v>802.93299999999999</v>
      </c>
      <c r="E54" s="46">
        <f>INDEX(Tolls_and_check_facilities!$A$2:$I$17,MATCH(Medium_model!C54,Tolls_and_check_facilities!$A$2:$A$17,0),8)</f>
        <v>0.02</v>
      </c>
      <c r="F54" s="36">
        <f>INDEX(Tolls_and_check_facilities!$B$2:$G$17,MATCH(C54,Tolls_and_check_facilities!$A$2:$A$17,0),MATCH(Medium_model!$C$5,Tolls_and_check_facilities!$B$1:$G$1))</f>
        <v>99.423000000000002</v>
      </c>
      <c r="H54" s="39">
        <v>0</v>
      </c>
      <c r="J54" s="42">
        <f t="shared" si="0"/>
        <v>0</v>
      </c>
      <c r="K54" s="42">
        <f t="shared" si="1"/>
        <v>0</v>
      </c>
      <c r="L54" s="41">
        <f t="shared" si="2"/>
        <v>0</v>
      </c>
    </row>
    <row r="55" spans="2:12" x14ac:dyDescent="0.45">
      <c r="B55" s="9" t="s">
        <v>14</v>
      </c>
      <c r="C55" s="44" t="s">
        <v>36</v>
      </c>
      <c r="D55">
        <v>679.65899999999999</v>
      </c>
      <c r="E55" s="46">
        <f>INDEX(Tolls_and_check_facilities!$A$2:$I$17,MATCH(Medium_model!C55,Tolls_and_check_facilities!$A$2:$A$17,0),8)</f>
        <v>9.2999999999999999E-2</v>
      </c>
      <c r="F55" s="36">
        <f>INDEX(Tolls_and_check_facilities!$B$2:$G$17,MATCH(C55,Tolls_and_check_facilities!$A$2:$A$17,0),MATCH(Medium_model!$C$5,Tolls_and_check_facilities!$B$1:$G$1))</f>
        <v>203.70926743535321</v>
      </c>
      <c r="H55" s="39">
        <v>0</v>
      </c>
      <c r="J55" s="42">
        <f t="shared" si="0"/>
        <v>0</v>
      </c>
      <c r="K55" s="42">
        <f t="shared" si="1"/>
        <v>0</v>
      </c>
      <c r="L55" s="41">
        <f t="shared" si="2"/>
        <v>0</v>
      </c>
    </row>
    <row r="56" spans="2:12" x14ac:dyDescent="0.45">
      <c r="B56" s="9" t="s">
        <v>14</v>
      </c>
      <c r="C56" s="44" t="s">
        <v>34</v>
      </c>
      <c r="D56">
        <v>856.71</v>
      </c>
      <c r="E56" s="46">
        <f>INDEX(Tolls_and_check_facilities!$A$2:$I$17,MATCH(Medium_model!C56,Tolls_and_check_facilities!$A$2:$A$17,0),8)</f>
        <v>4.4999999999999998E-2</v>
      </c>
      <c r="F56" s="36">
        <f>INDEX(Tolls_and_check_facilities!$B$2:$G$17,MATCH(C56,Tolls_and_check_facilities!$A$2:$A$17,0),MATCH(Medium_model!$C$5,Tolls_and_check_facilities!$B$1:$G$1))</f>
        <v>187.09111724367872</v>
      </c>
      <c r="H56" s="39">
        <v>0</v>
      </c>
      <c r="J56" s="42">
        <f t="shared" si="0"/>
        <v>0</v>
      </c>
      <c r="K56" s="42">
        <f>F56*H56</f>
        <v>0</v>
      </c>
      <c r="L56" s="41">
        <f t="shared" si="2"/>
        <v>0</v>
      </c>
    </row>
    <row r="57" spans="2:12" x14ac:dyDescent="0.45">
      <c r="B57" s="9" t="s">
        <v>14</v>
      </c>
      <c r="C57" s="44" t="s">
        <v>7</v>
      </c>
      <c r="D57">
        <v>774.21400000000006</v>
      </c>
      <c r="E57" s="46">
        <f>INDEX(Tolls_and_check_facilities!$A$2:$I$17,MATCH(Medium_model!C57,Tolls_and_check_facilities!$A$2:$A$17,0),8)</f>
        <v>3.4000000000000002E-2</v>
      </c>
      <c r="F57" s="36">
        <f>INDEX(Tolls_and_check_facilities!$B$2:$G$17,MATCH(C57,Tolls_and_check_facilities!$A$2:$A$17,0),MATCH(Medium_model!$C$5,Tolls_and_check_facilities!$B$1:$G$1))</f>
        <v>152.12069263071177</v>
      </c>
      <c r="H57" s="39">
        <v>0</v>
      </c>
      <c r="J57" s="42">
        <f t="shared" si="0"/>
        <v>0</v>
      </c>
      <c r="K57" s="42">
        <f t="shared" si="1"/>
        <v>0</v>
      </c>
      <c r="L57" s="41">
        <f t="shared" si="2"/>
        <v>0</v>
      </c>
    </row>
    <row r="58" spans="2:12" x14ac:dyDescent="0.45">
      <c r="B58" s="9" t="s">
        <v>3</v>
      </c>
      <c r="C58" s="44" t="s">
        <v>8</v>
      </c>
      <c r="D58">
        <v>1185.5920000000001</v>
      </c>
      <c r="E58" s="46">
        <f>INDEX(Tolls_and_check_facilities!$A$2:$I$17,MATCH(Medium_model!C58,Tolls_and_check_facilities!$A$2:$A$17,0),8)</f>
        <v>6.9000000000000006E-2</v>
      </c>
      <c r="F58" s="36">
        <f>INDEX(Tolls_and_check_facilities!$B$2:$G$17,MATCH(C58,Tolls_and_check_facilities!$A$2:$A$17,0),MATCH(Medium_model!$C$5,Tolls_and_check_facilities!$B$1:$G$1))</f>
        <v>218.53067167106138</v>
      </c>
      <c r="H58" s="39">
        <v>0</v>
      </c>
      <c r="J58" s="42">
        <f t="shared" si="0"/>
        <v>0</v>
      </c>
      <c r="K58" s="42">
        <f t="shared" si="1"/>
        <v>0</v>
      </c>
      <c r="L58" s="41">
        <f t="shared" si="2"/>
        <v>0</v>
      </c>
    </row>
    <row r="59" spans="2:12" x14ac:dyDescent="0.45">
      <c r="B59" s="9" t="s">
        <v>3</v>
      </c>
      <c r="C59" s="44" t="s">
        <v>5</v>
      </c>
      <c r="D59">
        <v>860.74599999999998</v>
      </c>
      <c r="E59" s="46">
        <f>INDEX(Tolls_and_check_facilities!$A$2:$I$17,MATCH(Medium_model!C59,Tolls_and_check_facilities!$A$2:$A$17,0),8)</f>
        <v>8.5000000000000006E-2</v>
      </c>
      <c r="F59" s="36">
        <f>INDEX(Tolls_and_check_facilities!$B$2:$G$17,MATCH(C59,Tolls_and_check_facilities!$A$2:$A$17,0),MATCH(Medium_model!$C$5,Tolls_and_check_facilities!$B$1:$G$1))</f>
        <v>204.30716074044784</v>
      </c>
      <c r="H59" s="39">
        <v>0</v>
      </c>
      <c r="J59" s="42">
        <f t="shared" si="0"/>
        <v>0</v>
      </c>
      <c r="K59" s="42">
        <f>F59*H59</f>
        <v>0</v>
      </c>
      <c r="L59" s="41">
        <f t="shared" si="2"/>
        <v>0</v>
      </c>
    </row>
    <row r="60" spans="2:12" x14ac:dyDescent="0.45">
      <c r="B60" s="9" t="s">
        <v>3</v>
      </c>
      <c r="C60" s="44" t="s">
        <v>9</v>
      </c>
      <c r="D60">
        <v>1074.867</v>
      </c>
      <c r="E60" s="46">
        <f>INDEX(Tolls_and_check_facilities!$A$2:$I$17,MATCH(Medium_model!C60,Tolls_and_check_facilities!$A$2:$A$17,0),8)</f>
        <v>0.12239999999999999</v>
      </c>
      <c r="F60" s="36">
        <f>INDEX(Tolls_and_check_facilities!$B$2:$G$17,MATCH(C60,Tolls_and_check_facilities!$A$2:$A$17,0),MATCH(Medium_model!$C$5,Tolls_and_check_facilities!$B$1:$G$1))</f>
        <v>206.89819099359644</v>
      </c>
      <c r="H60" s="39">
        <v>0</v>
      </c>
      <c r="J60" s="42">
        <f t="shared" si="0"/>
        <v>0</v>
      </c>
      <c r="K60" s="42">
        <f t="shared" si="1"/>
        <v>0</v>
      </c>
      <c r="L60" s="41">
        <f t="shared" si="2"/>
        <v>0</v>
      </c>
    </row>
    <row r="61" spans="2:12" x14ac:dyDescent="0.45">
      <c r="B61" s="9" t="s">
        <v>35</v>
      </c>
      <c r="C61" s="44" t="s">
        <v>33</v>
      </c>
      <c r="D61">
        <v>517.96500000000003</v>
      </c>
      <c r="E61" s="46">
        <f>INDEX(Tolls_and_check_facilities!$A$2:$I$17,MATCH(Medium_model!C61,Tolls_and_check_facilities!$A$2:$A$17,0),8)</f>
        <v>0.02</v>
      </c>
      <c r="F61" s="36">
        <f>INDEX(Tolls_and_check_facilities!$B$2:$G$17,MATCH(C61,Tolls_and_check_facilities!$A$2:$A$17,0),MATCH(Medium_model!$C$5,Tolls_and_check_facilities!$B$1:$G$1))</f>
        <v>99.423000000000002</v>
      </c>
      <c r="H61" s="39">
        <v>0</v>
      </c>
      <c r="J61" s="42">
        <f t="shared" si="0"/>
        <v>0</v>
      </c>
      <c r="K61" s="42">
        <f t="shared" si="1"/>
        <v>0</v>
      </c>
      <c r="L61" s="41">
        <f t="shared" si="2"/>
        <v>0</v>
      </c>
    </row>
    <row r="62" spans="2:12" x14ac:dyDescent="0.45">
      <c r="B62" s="9" t="s">
        <v>35</v>
      </c>
      <c r="C62" s="44" t="s">
        <v>36</v>
      </c>
      <c r="D62">
        <v>843.399</v>
      </c>
      <c r="E62" s="46">
        <f>INDEX(Tolls_and_check_facilities!$A$2:$I$17,MATCH(Medium_model!C62,Tolls_and_check_facilities!$A$2:$A$17,0),8)</f>
        <v>9.2999999999999999E-2</v>
      </c>
      <c r="F62" s="36">
        <f>INDEX(Tolls_and_check_facilities!$B$2:$G$17,MATCH(C62,Tolls_and_check_facilities!$A$2:$A$17,0),MATCH(Medium_model!$C$5,Tolls_and_check_facilities!$B$1:$G$1))</f>
        <v>203.70926743535321</v>
      </c>
      <c r="H62" s="39">
        <v>0</v>
      </c>
      <c r="J62" s="42">
        <f t="shared" si="0"/>
        <v>0</v>
      </c>
      <c r="K62" s="42">
        <f t="shared" si="1"/>
        <v>0</v>
      </c>
      <c r="L62" s="41">
        <f>$C$8*D62*H62</f>
        <v>0</v>
      </c>
    </row>
    <row r="63" spans="2:12" x14ac:dyDescent="0.45">
      <c r="B63" s="9" t="s">
        <v>36</v>
      </c>
      <c r="C63" s="44" t="s">
        <v>35</v>
      </c>
      <c r="D63">
        <v>843.399</v>
      </c>
      <c r="E63" s="46">
        <f>INDEX(Tolls_and_check_facilities!$A$2:$I$17,MATCH(Medium_model!C63,Tolls_and_check_facilities!$A$2:$A$17,0),8)</f>
        <v>1.7000000000000001E-2</v>
      </c>
      <c r="F63" s="36">
        <f>INDEX(Tolls_and_check_facilities!$B$2:$G$17,MATCH(C63,Tolls_and_check_facilities!$A$2:$A$17,0),MATCH(Medium_model!$C$5,Tolls_and_check_facilities!$B$1:$G$1))</f>
        <v>101.27500000000001</v>
      </c>
      <c r="H63" s="39">
        <v>0</v>
      </c>
      <c r="J63" s="42">
        <f t="shared" si="0"/>
        <v>0</v>
      </c>
      <c r="K63" s="42">
        <f t="shared" si="1"/>
        <v>0</v>
      </c>
      <c r="L63" s="41">
        <f t="shared" si="2"/>
        <v>0</v>
      </c>
    </row>
    <row r="64" spans="2:12" x14ac:dyDescent="0.45">
      <c r="B64" s="9" t="s">
        <v>36</v>
      </c>
      <c r="C64" s="44" t="s">
        <v>33</v>
      </c>
      <c r="D64">
        <v>1066.8989999999999</v>
      </c>
      <c r="E64" s="46">
        <f>INDEX(Tolls_and_check_facilities!$A$2:$I$17,MATCH(Medium_model!C64,Tolls_and_check_facilities!$A$2:$A$17,0),8)</f>
        <v>0.02</v>
      </c>
      <c r="F64" s="36">
        <f>INDEX(Tolls_and_check_facilities!$B$2:$G$17,MATCH(C64,Tolls_and_check_facilities!$A$2:$A$17,0),MATCH(Medium_model!$C$5,Tolls_and_check_facilities!$B$1:$G$1))</f>
        <v>99.423000000000002</v>
      </c>
      <c r="H64" s="39">
        <v>0</v>
      </c>
      <c r="J64" s="42">
        <f t="shared" si="0"/>
        <v>0</v>
      </c>
      <c r="K64" s="42">
        <f t="shared" si="1"/>
        <v>0</v>
      </c>
      <c r="L64" s="41">
        <f t="shared" si="2"/>
        <v>0</v>
      </c>
    </row>
    <row r="65" spans="2:12" x14ac:dyDescent="0.45">
      <c r="B65" s="9" t="s">
        <v>36</v>
      </c>
      <c r="C65" s="44" t="s">
        <v>14</v>
      </c>
      <c r="D65">
        <v>679.65899999999999</v>
      </c>
      <c r="E65" s="46">
        <f>INDEX(Tolls_and_check_facilities!$A$2:$I$17,MATCH(Medium_model!C65,Tolls_and_check_facilities!$A$2:$A$17,0),8)</f>
        <v>2.1049689911392055E-2</v>
      </c>
      <c r="F65" s="36">
        <f>INDEX(Tolls_and_check_facilities!$B$2:$G$17,MATCH(C65,Tolls_and_check_facilities!$A$2:$A$17,0),MATCH(Medium_model!$C$5,Tolls_and_check_facilities!$B$1:$G$1))</f>
        <v>117</v>
      </c>
      <c r="H65" s="39">
        <v>0</v>
      </c>
      <c r="J65" s="42">
        <f t="shared" si="0"/>
        <v>0</v>
      </c>
      <c r="K65" s="42">
        <f t="shared" si="1"/>
        <v>0</v>
      </c>
      <c r="L65" s="41">
        <f t="shared" si="2"/>
        <v>0</v>
      </c>
    </row>
    <row r="66" spans="2:12" x14ac:dyDescent="0.45">
      <c r="B66" s="9" t="s">
        <v>36</v>
      </c>
      <c r="C66" s="44" t="s">
        <v>34</v>
      </c>
      <c r="D66">
        <v>848.86500000000001</v>
      </c>
      <c r="E66" s="46">
        <f>INDEX(Tolls_and_check_facilities!$A$2:$I$17,MATCH(Medium_model!C66,Tolls_and_check_facilities!$A$2:$A$17,0),8)</f>
        <v>4.4999999999999998E-2</v>
      </c>
      <c r="F66" s="36">
        <f>INDEX(Tolls_and_check_facilities!$B$2:$G$17,MATCH(C66,Tolls_and_check_facilities!$A$2:$A$17,0),MATCH(Medium_model!$C$5,Tolls_and_check_facilities!$B$1:$G$1))</f>
        <v>187.09111724367872</v>
      </c>
      <c r="H66" s="39">
        <v>0</v>
      </c>
      <c r="J66" s="42">
        <f t="shared" si="0"/>
        <v>0</v>
      </c>
      <c r="K66" s="42">
        <f t="shared" si="1"/>
        <v>0</v>
      </c>
      <c r="L66" s="41">
        <f t="shared" si="2"/>
        <v>0</v>
      </c>
    </row>
    <row r="67" spans="2:12" x14ac:dyDescent="0.45">
      <c r="B67" s="9" t="s">
        <v>34</v>
      </c>
      <c r="C67" s="44" t="s">
        <v>36</v>
      </c>
      <c r="D67">
        <v>848.86500000000001</v>
      </c>
      <c r="E67" s="46">
        <f>INDEX(Tolls_and_check_facilities!$A$2:$I$17,MATCH(Medium_model!C67,Tolls_and_check_facilities!$A$2:$A$17,0),8)</f>
        <v>9.2999999999999999E-2</v>
      </c>
      <c r="F67" s="36">
        <f>INDEX(Tolls_and_check_facilities!$B$2:$G$17,MATCH(C67,Tolls_and_check_facilities!$A$2:$A$17,0),MATCH(Medium_model!$C$5,Tolls_and_check_facilities!$B$1:$G$1))</f>
        <v>203.70926743535321</v>
      </c>
      <c r="H67" s="39">
        <v>0</v>
      </c>
      <c r="J67" s="42">
        <f t="shared" si="0"/>
        <v>0</v>
      </c>
      <c r="K67" s="42">
        <f t="shared" si="1"/>
        <v>0</v>
      </c>
      <c r="L67" s="41">
        <f t="shared" si="2"/>
        <v>0</v>
      </c>
    </row>
    <row r="68" spans="2:12" x14ac:dyDescent="0.45">
      <c r="B68" s="9" t="s">
        <v>34</v>
      </c>
      <c r="C68" s="44" t="s">
        <v>14</v>
      </c>
      <c r="D68">
        <v>856.71</v>
      </c>
      <c r="E68" s="46">
        <f>INDEX(Tolls_and_check_facilities!$A$2:$I$17,MATCH(Medium_model!C68,Tolls_and_check_facilities!$A$2:$A$17,0),8)</f>
        <v>2.1049689911392055E-2</v>
      </c>
      <c r="F68" s="36">
        <f>INDEX(Tolls_and_check_facilities!$B$2:$G$17,MATCH(C68,Tolls_and_check_facilities!$A$2:$A$17,0),MATCH(Medium_model!$C$5,Tolls_and_check_facilities!$B$1:$G$1))</f>
        <v>117</v>
      </c>
      <c r="H68" s="39">
        <v>0</v>
      </c>
      <c r="J68" s="42">
        <f t="shared" si="0"/>
        <v>0</v>
      </c>
      <c r="K68" s="42">
        <f t="shared" si="1"/>
        <v>0</v>
      </c>
      <c r="L68" s="41">
        <f t="shared" si="2"/>
        <v>0</v>
      </c>
    </row>
    <row r="69" spans="2:12" x14ac:dyDescent="0.45">
      <c r="B69" s="9" t="s">
        <v>34</v>
      </c>
      <c r="C69" s="44" t="s">
        <v>7</v>
      </c>
      <c r="D69">
        <v>835.59199999999998</v>
      </c>
      <c r="E69" s="46">
        <f>INDEX(Tolls_and_check_facilities!$A$2:$I$17,MATCH(Medium_model!C69,Tolls_and_check_facilities!$A$2:$A$17,0),8)</f>
        <v>3.4000000000000002E-2</v>
      </c>
      <c r="F69" s="36">
        <f>INDEX(Tolls_and_check_facilities!$B$2:$G$17,MATCH(C69,Tolls_and_check_facilities!$A$2:$A$17,0),MATCH(Medium_model!$C$5,Tolls_and_check_facilities!$B$1:$G$1))</f>
        <v>152.12069263071177</v>
      </c>
      <c r="H69" s="39">
        <v>0</v>
      </c>
      <c r="J69" s="42">
        <f t="shared" si="0"/>
        <v>0</v>
      </c>
      <c r="K69" s="42">
        <f t="shared" si="1"/>
        <v>0</v>
      </c>
      <c r="L69" s="41">
        <f t="shared" si="2"/>
        <v>0</v>
      </c>
    </row>
    <row r="70" spans="2:12" x14ac:dyDescent="0.45">
      <c r="B70" s="9" t="s">
        <v>34</v>
      </c>
      <c r="C70" s="44" t="s">
        <v>5</v>
      </c>
      <c r="D70">
        <v>777.04499999999996</v>
      </c>
      <c r="E70" s="46">
        <f>INDEX(Tolls_and_check_facilities!$A$2:$I$17,MATCH(Medium_model!C70,Tolls_and_check_facilities!$A$2:$A$17,0),8)</f>
        <v>8.5000000000000006E-2</v>
      </c>
      <c r="F70" s="36">
        <f>INDEX(Tolls_and_check_facilities!$B$2:$G$17,MATCH(C70,Tolls_and_check_facilities!$A$2:$A$17,0),MATCH(Medium_model!$C$5,Tolls_and_check_facilities!$B$1:$G$1))</f>
        <v>204.30716074044784</v>
      </c>
      <c r="H70" s="39">
        <v>0</v>
      </c>
      <c r="J70" s="42">
        <f t="shared" si="0"/>
        <v>0</v>
      </c>
      <c r="K70" s="42">
        <f t="shared" si="1"/>
        <v>0</v>
      </c>
      <c r="L70" s="41">
        <f t="shared" si="2"/>
        <v>0</v>
      </c>
    </row>
    <row r="71" spans="2:12" x14ac:dyDescent="0.45">
      <c r="B71" s="9" t="s">
        <v>34</v>
      </c>
      <c r="C71" s="44" t="s">
        <v>9</v>
      </c>
      <c r="D71">
        <v>635.55100000000004</v>
      </c>
      <c r="E71" s="46">
        <f>INDEX(Tolls_and_check_facilities!$A$2:$I$17,MATCH(Medium_model!C71,Tolls_and_check_facilities!$A$2:$A$17,0),8)</f>
        <v>0.12239999999999999</v>
      </c>
      <c r="F71" s="36">
        <f>INDEX(Tolls_and_check_facilities!$B$2:$G$17,MATCH(C71,Tolls_and_check_facilities!$A$2:$A$17,0),MATCH(Medium_model!$C$5,Tolls_and_check_facilities!$B$1:$G$1))</f>
        <v>206.89819099359644</v>
      </c>
      <c r="H71" s="39">
        <v>0</v>
      </c>
      <c r="J71" s="42">
        <f t="shared" si="0"/>
        <v>0</v>
      </c>
      <c r="K71" s="42">
        <f t="shared" si="1"/>
        <v>0</v>
      </c>
      <c r="L71" s="41">
        <f t="shared" si="2"/>
        <v>0</v>
      </c>
    </row>
    <row r="72" spans="2:12" x14ac:dyDescent="0.45">
      <c r="B72" s="9" t="s">
        <v>9</v>
      </c>
      <c r="C72" s="44" t="s">
        <v>34</v>
      </c>
      <c r="D72">
        <v>635.55100000000004</v>
      </c>
      <c r="E72" s="46">
        <f>INDEX(Tolls_and_check_facilities!$A$2:$I$17,MATCH(Medium_model!C72,Tolls_and_check_facilities!$A$2:$A$17,0),8)</f>
        <v>4.4999999999999998E-2</v>
      </c>
      <c r="F72" s="36">
        <f>INDEX(Tolls_and_check_facilities!$B$2:$G$17,MATCH(C72,Tolls_and_check_facilities!$A$2:$A$17,0),MATCH(Medium_model!$C$5,Tolls_and_check_facilities!$B$1:$G$1))</f>
        <v>187.09111724367872</v>
      </c>
      <c r="H72" s="39">
        <v>0</v>
      </c>
      <c r="J72" s="42">
        <f t="shared" si="0"/>
        <v>0</v>
      </c>
      <c r="K72" s="42">
        <f t="shared" si="1"/>
        <v>0</v>
      </c>
      <c r="L72" s="41">
        <f t="shared" si="2"/>
        <v>0</v>
      </c>
    </row>
    <row r="73" spans="2:12" x14ac:dyDescent="0.45">
      <c r="B73" s="9" t="s">
        <v>9</v>
      </c>
      <c r="C73" s="44" t="s">
        <v>3</v>
      </c>
      <c r="D73">
        <v>1074.867</v>
      </c>
      <c r="E73" s="46">
        <f>INDEX(Tolls_and_check_facilities!$A$2:$I$17,MATCH(Medium_model!C73,Tolls_and_check_facilities!$A$2:$A$17,0),8)</f>
        <v>0.155</v>
      </c>
      <c r="F73" s="36">
        <f>INDEX(Tolls_and_check_facilities!$B$2:$G$17,MATCH(C73,Tolls_and_check_facilities!$A$2:$A$17,0),MATCH(Medium_model!$C$5,Tolls_and_check_facilities!$B$1:$G$1))</f>
        <v>424.67862871133099</v>
      </c>
      <c r="H73" s="39">
        <v>0</v>
      </c>
      <c r="J73" s="42">
        <f t="shared" si="0"/>
        <v>0</v>
      </c>
      <c r="K73" s="42">
        <f t="shared" si="1"/>
        <v>0</v>
      </c>
      <c r="L73" s="41">
        <f t="shared" si="2"/>
        <v>0</v>
      </c>
    </row>
    <row r="74" spans="2:12" x14ac:dyDescent="0.45">
      <c r="B74" s="9" t="s">
        <v>9</v>
      </c>
      <c r="C74" s="44" t="s">
        <v>5</v>
      </c>
      <c r="D74">
        <v>912.58799999999997</v>
      </c>
      <c r="E74" s="46">
        <f>INDEX(Tolls_and_check_facilities!$A$2:$I$17,MATCH(Medium_model!C74,Tolls_and_check_facilities!$A$2:$A$17,0),8)</f>
        <v>8.5000000000000006E-2</v>
      </c>
      <c r="F74" s="36">
        <f>INDEX(Tolls_and_check_facilities!$B$2:$G$17,MATCH(C74,Tolls_and_check_facilities!$A$2:$A$17,0),MATCH(Medium_model!$C$5,Tolls_and_check_facilities!$B$1:$G$1))</f>
        <v>204.30716074044784</v>
      </c>
      <c r="H74" s="39">
        <v>0</v>
      </c>
      <c r="J74" s="42">
        <f t="shared" si="0"/>
        <v>0</v>
      </c>
      <c r="K74" s="42">
        <f t="shared" si="1"/>
        <v>0</v>
      </c>
      <c r="L74" s="41">
        <f t="shared" si="2"/>
        <v>0</v>
      </c>
    </row>
    <row r="75" spans="2:12" x14ac:dyDescent="0.45">
      <c r="B75" s="9" t="s">
        <v>34</v>
      </c>
      <c r="C75" s="44" t="s">
        <v>37</v>
      </c>
      <c r="D75">
        <v>933.57500000000005</v>
      </c>
      <c r="E75" s="46">
        <f>INDEX(Tolls_and_check_facilities!$A$2:$I$17,MATCH(Medium_model!C75,Tolls_and_check_facilities!$A$2:$A$17,0),8)</f>
        <v>0.105</v>
      </c>
      <c r="F75" s="36">
        <f>INDEX(Tolls_and_check_facilities!$B$2:$G$17,MATCH(C75,Tolls_and_check_facilities!$A$2:$A$17,0),MATCH(Medium_model!$C$5,Tolls_and_check_facilities!$B$1:$G$1))</f>
        <v>202.77142430593526</v>
      </c>
      <c r="H75" s="39">
        <v>1</v>
      </c>
      <c r="J75" s="42">
        <f t="shared" si="0"/>
        <v>210</v>
      </c>
      <c r="K75" s="42">
        <f t="shared" si="1"/>
        <v>202.77142430593526</v>
      </c>
      <c r="L75" s="41">
        <f t="shared" si="2"/>
        <v>252.99882500000004</v>
      </c>
    </row>
    <row r="76" spans="2:12" ht="14.65" thickBot="1" x14ac:dyDescent="0.5">
      <c r="B76" s="12" t="s">
        <v>9</v>
      </c>
      <c r="C76" s="45" t="s">
        <v>37</v>
      </c>
      <c r="D76" s="5">
        <v>576.95600000000002</v>
      </c>
      <c r="E76" s="47">
        <f>INDEX(Tolls_and_check_facilities!$A$2:$I$17,MATCH(Medium_model!C76,Tolls_and_check_facilities!$A$2:$A$17,0),8)</f>
        <v>0.105</v>
      </c>
      <c r="F76" s="37">
        <f>INDEX(Tolls_and_check_facilities!$B$2:$G$17,MATCH(C76,Tolls_and_check_facilities!$A$2:$A$17,0),MATCH(Medium_model!$C$5,Tolls_and_check_facilities!$B$1:$G$1))</f>
        <v>202.77142430593526</v>
      </c>
      <c r="H76" s="40">
        <v>0</v>
      </c>
      <c r="J76" s="43">
        <f t="shared" si="0"/>
        <v>0</v>
      </c>
      <c r="K76" s="43">
        <f>F76*H76</f>
        <v>0</v>
      </c>
      <c r="L76" s="23">
        <f t="shared" si="2"/>
        <v>0</v>
      </c>
    </row>
    <row r="78" spans="2:12" ht="14.65" thickBot="1" x14ac:dyDescent="0.5"/>
    <row r="79" spans="2:12" ht="14.65" thickBot="1" x14ac:dyDescent="0.5">
      <c r="C79" s="4" t="s">
        <v>47</v>
      </c>
      <c r="D79" s="19">
        <f>SUMPRODUCT(D13:D76,H13:H76)</f>
        <v>3852.0740000000005</v>
      </c>
      <c r="G79" s="4" t="s">
        <v>21</v>
      </c>
      <c r="H79" s="2">
        <f>SUM(H13:H76)</f>
        <v>5</v>
      </c>
      <c r="J79" s="4"/>
      <c r="K79" s="4" t="s">
        <v>48</v>
      </c>
      <c r="L79" s="22">
        <f>SUM(J13:L76)</f>
        <v>2493.7953862409981</v>
      </c>
    </row>
    <row r="82" spans="2:7" ht="46.15" customHeight="1" thickBot="1" x14ac:dyDescent="0.5">
      <c r="B82" s="51" t="s">
        <v>42</v>
      </c>
      <c r="C82" s="51"/>
      <c r="D82" s="51"/>
      <c r="F82" s="52" t="s">
        <v>56</v>
      </c>
      <c r="G82" s="52"/>
    </row>
    <row r="83" spans="2:7" x14ac:dyDescent="0.45">
      <c r="B83" s="16" t="s">
        <v>25</v>
      </c>
      <c r="C83" s="7" t="s">
        <v>19</v>
      </c>
      <c r="D83" s="8">
        <v>1</v>
      </c>
      <c r="F83" s="24" t="s">
        <v>13</v>
      </c>
      <c r="G83" s="25">
        <f ca="1">SUMIF($C$13:$H$76,F83,$H$13:$H$76)</f>
        <v>0</v>
      </c>
    </row>
    <row r="84" spans="2:7" x14ac:dyDescent="0.45">
      <c r="B84" s="9" t="s">
        <v>26</v>
      </c>
      <c r="C84" t="s">
        <v>19</v>
      </c>
      <c r="D84" s="10">
        <v>1</v>
      </c>
      <c r="F84" s="26" t="s">
        <v>7</v>
      </c>
      <c r="G84" s="27">
        <f ca="1">SUMIF($C$13:$H$76,F84,$H$13:$H$76)</f>
        <v>1</v>
      </c>
    </row>
    <row r="85" spans="2:7" x14ac:dyDescent="0.45">
      <c r="B85" s="9" t="s">
        <v>27</v>
      </c>
      <c r="C85" t="s">
        <v>19</v>
      </c>
      <c r="D85" s="10">
        <v>1</v>
      </c>
      <c r="F85" s="26" t="s">
        <v>5</v>
      </c>
      <c r="G85" s="27">
        <f t="shared" ref="G85:G86" ca="1" si="4">SUMIF($C$13:$H$76,F85,$H$13:$H$76)</f>
        <v>0</v>
      </c>
    </row>
    <row r="86" spans="2:7" x14ac:dyDescent="0.45">
      <c r="B86" s="9" t="s">
        <v>28</v>
      </c>
      <c r="C86" t="s">
        <v>19</v>
      </c>
      <c r="D86" s="10">
        <v>2</v>
      </c>
      <c r="F86" s="26" t="s">
        <v>36</v>
      </c>
      <c r="G86" s="27">
        <f t="shared" ca="1" si="4"/>
        <v>0</v>
      </c>
    </row>
    <row r="87" spans="2:7" ht="14.65" thickBot="1" x14ac:dyDescent="0.5">
      <c r="B87" s="9" t="s">
        <v>29</v>
      </c>
      <c r="C87" t="s">
        <v>19</v>
      </c>
      <c r="D87" s="10">
        <v>2</v>
      </c>
      <c r="F87" s="28" t="s">
        <v>35</v>
      </c>
      <c r="G87" s="29">
        <f ca="1">SUMIF($C$13:$H$76,F87,$H$13:$H$76)</f>
        <v>0</v>
      </c>
    </row>
    <row r="88" spans="2:7" x14ac:dyDescent="0.45">
      <c r="B88" s="9" t="s">
        <v>30</v>
      </c>
      <c r="C88" t="s">
        <v>19</v>
      </c>
      <c r="D88" s="10">
        <v>2</v>
      </c>
    </row>
    <row r="89" spans="2:7" x14ac:dyDescent="0.45">
      <c r="B89" s="9"/>
      <c r="D89" s="10"/>
    </row>
    <row r="90" spans="2:7" x14ac:dyDescent="0.45">
      <c r="B90" s="9" t="s">
        <v>57</v>
      </c>
      <c r="D90" s="10"/>
    </row>
    <row r="91" spans="2:7" ht="14.65" thickBot="1" x14ac:dyDescent="0.5">
      <c r="B91" s="12">
        <f>SUM(H23,H31,H48,H53,H25,H33,H43,H57,H69,H26,H42,H59,H70,H74,H50,H55,H62,H67,H49,H63)</f>
        <v>1</v>
      </c>
      <c r="C91" s="5" t="s">
        <v>19</v>
      </c>
      <c r="D91" s="23">
        <f>VLOOKUP($C$5,$B$83:$D$88,3)</f>
        <v>1</v>
      </c>
    </row>
  </sheetData>
  <mergeCells count="3">
    <mergeCell ref="B82:D82"/>
    <mergeCell ref="F82:G82"/>
    <mergeCell ref="B10:F10"/>
  </mergeCells>
  <conditionalFormatting sqref="B13:F76">
    <cfRule type="expression" dxfId="1" priority="2">
      <formula>$H13=1</formula>
    </cfRule>
  </conditionalFormatting>
  <dataValidations count="1">
    <dataValidation type="list" allowBlank="1" showInputMessage="1" showErrorMessage="1" sqref="C5" xr:uid="{81824CF6-E0E8-4A97-A1F9-5ECC84E79294}">
      <formula1>"Class 1, Class 2, Class 3, Class 4, Class 5, Class 6"</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D59C9-A4CA-4AD2-843E-490590A61834}">
  <sheetPr codeName="Sheet8"/>
  <dimension ref="A1:C65"/>
  <sheetViews>
    <sheetView workbookViewId="0">
      <selection activeCell="K8" sqref="K8"/>
    </sheetView>
  </sheetViews>
  <sheetFormatPr defaultRowHeight="14.25" x14ac:dyDescent="0.45"/>
  <sheetData>
    <row r="1" spans="1:3" s="5" customFormat="1" ht="14.65" thickBot="1" x14ac:dyDescent="0.5">
      <c r="A1" s="5" t="s">
        <v>0</v>
      </c>
      <c r="B1" s="5" t="s">
        <v>1</v>
      </c>
      <c r="C1" s="5" t="s">
        <v>2</v>
      </c>
    </row>
    <row r="2" spans="1:3" x14ac:dyDescent="0.45">
      <c r="A2" t="s">
        <v>11</v>
      </c>
      <c r="B2" t="s">
        <v>10</v>
      </c>
      <c r="C2">
        <v>548.40200000000004</v>
      </c>
    </row>
    <row r="3" spans="1:3" x14ac:dyDescent="0.45">
      <c r="A3" t="s">
        <v>11</v>
      </c>
      <c r="B3" t="s">
        <v>6</v>
      </c>
      <c r="C3">
        <v>724.2</v>
      </c>
    </row>
    <row r="4" spans="1:3" x14ac:dyDescent="0.45">
      <c r="A4" t="s">
        <v>10</v>
      </c>
      <c r="B4" t="s">
        <v>6</v>
      </c>
      <c r="C4">
        <v>924.97199999999998</v>
      </c>
    </row>
    <row r="5" spans="1:3" x14ac:dyDescent="0.45">
      <c r="A5" t="s">
        <v>10</v>
      </c>
      <c r="B5" t="s">
        <v>12</v>
      </c>
      <c r="C5">
        <v>574.23699999999997</v>
      </c>
    </row>
    <row r="6" spans="1:3" x14ac:dyDescent="0.45">
      <c r="A6" t="s">
        <v>10</v>
      </c>
      <c r="B6" t="s">
        <v>4</v>
      </c>
      <c r="C6">
        <v>1274.5909999999999</v>
      </c>
    </row>
    <row r="7" spans="1:3" x14ac:dyDescent="0.45">
      <c r="A7" t="s">
        <v>6</v>
      </c>
      <c r="B7" t="s">
        <v>10</v>
      </c>
      <c r="C7">
        <v>924.97199999999998</v>
      </c>
    </row>
    <row r="8" spans="1:3" x14ac:dyDescent="0.45">
      <c r="A8" t="s">
        <v>6</v>
      </c>
      <c r="B8" t="s">
        <v>4</v>
      </c>
      <c r="C8">
        <v>670.11300000000006</v>
      </c>
    </row>
    <row r="9" spans="1:3" x14ac:dyDescent="0.45">
      <c r="A9" t="s">
        <v>6</v>
      </c>
      <c r="B9" t="s">
        <v>8</v>
      </c>
      <c r="C9">
        <v>696.58</v>
      </c>
    </row>
    <row r="10" spans="1:3" x14ac:dyDescent="0.45">
      <c r="A10" t="s">
        <v>12</v>
      </c>
      <c r="B10" t="s">
        <v>10</v>
      </c>
      <c r="C10">
        <v>574.23699999999997</v>
      </c>
    </row>
    <row r="11" spans="1:3" x14ac:dyDescent="0.45">
      <c r="A11" t="s">
        <v>12</v>
      </c>
      <c r="B11" t="s">
        <v>4</v>
      </c>
      <c r="C11">
        <v>748.50099999999998</v>
      </c>
    </row>
    <row r="12" spans="1:3" x14ac:dyDescent="0.45">
      <c r="A12" t="s">
        <v>12</v>
      </c>
      <c r="B12" t="s">
        <v>13</v>
      </c>
      <c r="C12">
        <v>361.80700000000002</v>
      </c>
    </row>
    <row r="13" spans="1:3" x14ac:dyDescent="0.45">
      <c r="A13" t="s">
        <v>8</v>
      </c>
      <c r="B13" t="s">
        <v>6</v>
      </c>
      <c r="C13">
        <v>696.58</v>
      </c>
    </row>
    <row r="14" spans="1:3" x14ac:dyDescent="0.45">
      <c r="A14" t="s">
        <v>8</v>
      </c>
      <c r="B14" t="s">
        <v>7</v>
      </c>
      <c r="C14">
        <v>917.54200000000003</v>
      </c>
    </row>
    <row r="15" spans="1:3" x14ac:dyDescent="0.45">
      <c r="A15" t="s">
        <v>8</v>
      </c>
      <c r="B15" t="s">
        <v>5</v>
      </c>
      <c r="C15">
        <v>1109.865</v>
      </c>
    </row>
    <row r="16" spans="1:3" x14ac:dyDescent="0.45">
      <c r="A16" t="s">
        <v>8</v>
      </c>
      <c r="B16" t="s">
        <v>3</v>
      </c>
      <c r="C16">
        <v>1185.5920000000001</v>
      </c>
    </row>
    <row r="17" spans="1:3" x14ac:dyDescent="0.45">
      <c r="A17" t="s">
        <v>4</v>
      </c>
      <c r="B17" t="s">
        <v>6</v>
      </c>
      <c r="C17">
        <v>670.11300000000006</v>
      </c>
    </row>
    <row r="18" spans="1:3" x14ac:dyDescent="0.45">
      <c r="A18" t="s">
        <v>4</v>
      </c>
      <c r="B18" t="s">
        <v>10</v>
      </c>
      <c r="C18">
        <v>1274.5909999999999</v>
      </c>
    </row>
    <row r="19" spans="1:3" x14ac:dyDescent="0.45">
      <c r="A19" t="s">
        <v>4</v>
      </c>
      <c r="B19" t="s">
        <v>12</v>
      </c>
      <c r="C19">
        <v>748.50099999999998</v>
      </c>
    </row>
    <row r="20" spans="1:3" x14ac:dyDescent="0.45">
      <c r="A20" t="s">
        <v>4</v>
      </c>
      <c r="B20" t="s">
        <v>13</v>
      </c>
      <c r="C20">
        <v>620.29499999999996</v>
      </c>
    </row>
    <row r="21" spans="1:3" x14ac:dyDescent="0.45">
      <c r="A21" t="s">
        <v>4</v>
      </c>
      <c r="B21" t="s">
        <v>14</v>
      </c>
      <c r="C21">
        <v>635.00800000000004</v>
      </c>
    </row>
    <row r="22" spans="1:3" x14ac:dyDescent="0.45">
      <c r="A22" t="s">
        <v>4</v>
      </c>
      <c r="B22" t="s">
        <v>7</v>
      </c>
      <c r="C22">
        <v>688.59400000000005</v>
      </c>
    </row>
    <row r="23" spans="1:3" x14ac:dyDescent="0.45">
      <c r="A23" t="s">
        <v>13</v>
      </c>
      <c r="B23" t="s">
        <v>12</v>
      </c>
      <c r="C23">
        <v>361.80700000000002</v>
      </c>
    </row>
    <row r="24" spans="1:3" x14ac:dyDescent="0.45">
      <c r="A24" t="s">
        <v>13</v>
      </c>
      <c r="B24" t="s">
        <v>33</v>
      </c>
      <c r="C24">
        <v>346.01900000000001</v>
      </c>
    </row>
    <row r="25" spans="1:3" x14ac:dyDescent="0.45">
      <c r="A25" t="s">
        <v>13</v>
      </c>
      <c r="B25" t="s">
        <v>14</v>
      </c>
      <c r="C25">
        <v>729.98599999999999</v>
      </c>
    </row>
    <row r="26" spans="1:3" x14ac:dyDescent="0.45">
      <c r="A26" t="s">
        <v>13</v>
      </c>
      <c r="B26" t="s">
        <v>4</v>
      </c>
      <c r="C26">
        <v>619.149</v>
      </c>
    </row>
    <row r="27" spans="1:3" x14ac:dyDescent="0.45">
      <c r="A27" t="s">
        <v>7</v>
      </c>
      <c r="B27" t="s">
        <v>8</v>
      </c>
      <c r="C27">
        <v>917.54200000000003</v>
      </c>
    </row>
    <row r="28" spans="1:3" x14ac:dyDescent="0.45">
      <c r="A28" t="s">
        <v>7</v>
      </c>
      <c r="B28" t="s">
        <v>4</v>
      </c>
      <c r="C28">
        <v>688.59400000000005</v>
      </c>
    </row>
    <row r="29" spans="1:3" x14ac:dyDescent="0.45">
      <c r="A29" t="s">
        <v>7</v>
      </c>
      <c r="B29" t="s">
        <v>14</v>
      </c>
      <c r="C29">
        <v>774.21100000000001</v>
      </c>
    </row>
    <row r="30" spans="1:3" x14ac:dyDescent="0.45">
      <c r="A30" t="s">
        <v>7</v>
      </c>
      <c r="B30" t="s">
        <v>34</v>
      </c>
      <c r="C30">
        <v>835.59199999999998</v>
      </c>
    </row>
    <row r="31" spans="1:3" x14ac:dyDescent="0.45">
      <c r="A31" t="s">
        <v>7</v>
      </c>
      <c r="B31" t="s">
        <v>5</v>
      </c>
      <c r="C31">
        <v>745.25599999999997</v>
      </c>
    </row>
    <row r="32" spans="1:3" x14ac:dyDescent="0.45">
      <c r="A32" t="s">
        <v>5</v>
      </c>
      <c r="B32" t="s">
        <v>7</v>
      </c>
      <c r="C32">
        <v>745.25599999999997</v>
      </c>
    </row>
    <row r="33" spans="1:3" x14ac:dyDescent="0.45">
      <c r="A33" t="s">
        <v>5</v>
      </c>
      <c r="B33" t="s">
        <v>8</v>
      </c>
      <c r="C33">
        <v>1109.865</v>
      </c>
    </row>
    <row r="34" spans="1:3" x14ac:dyDescent="0.45">
      <c r="A34" t="s">
        <v>5</v>
      </c>
      <c r="B34" t="s">
        <v>34</v>
      </c>
      <c r="C34">
        <v>777.04499999999996</v>
      </c>
    </row>
    <row r="35" spans="1:3" x14ac:dyDescent="0.45">
      <c r="A35" t="s">
        <v>5</v>
      </c>
      <c r="B35" t="s">
        <v>9</v>
      </c>
      <c r="C35">
        <v>912.58799999999997</v>
      </c>
    </row>
    <row r="36" spans="1:3" x14ac:dyDescent="0.45">
      <c r="A36" t="s">
        <v>5</v>
      </c>
      <c r="B36" t="s">
        <v>3</v>
      </c>
      <c r="C36">
        <v>860.53200000000004</v>
      </c>
    </row>
    <row r="37" spans="1:3" x14ac:dyDescent="0.45">
      <c r="A37" t="s">
        <v>33</v>
      </c>
      <c r="B37" t="s">
        <v>13</v>
      </c>
      <c r="C37">
        <v>346.01900000000001</v>
      </c>
    </row>
    <row r="38" spans="1:3" x14ac:dyDescent="0.45">
      <c r="A38" t="s">
        <v>33</v>
      </c>
      <c r="B38" t="s">
        <v>35</v>
      </c>
      <c r="C38">
        <v>517.96500000000003</v>
      </c>
    </row>
    <row r="39" spans="1:3" x14ac:dyDescent="0.45">
      <c r="A39" t="s">
        <v>33</v>
      </c>
      <c r="B39" t="s">
        <v>36</v>
      </c>
      <c r="C39">
        <v>1066.8989999999999</v>
      </c>
    </row>
    <row r="40" spans="1:3" x14ac:dyDescent="0.45">
      <c r="A40" t="s">
        <v>33</v>
      </c>
      <c r="B40" t="s">
        <v>14</v>
      </c>
      <c r="C40">
        <v>802.93299999999999</v>
      </c>
    </row>
    <row r="41" spans="1:3" x14ac:dyDescent="0.45">
      <c r="A41" t="s">
        <v>14</v>
      </c>
      <c r="B41" t="s">
        <v>4</v>
      </c>
      <c r="C41">
        <v>635.00800000000004</v>
      </c>
    </row>
    <row r="42" spans="1:3" x14ac:dyDescent="0.45">
      <c r="A42" t="s">
        <v>14</v>
      </c>
      <c r="B42" t="s">
        <v>13</v>
      </c>
      <c r="C42">
        <v>729.98599999999999</v>
      </c>
    </row>
    <row r="43" spans="1:3" x14ac:dyDescent="0.45">
      <c r="A43" t="s">
        <v>14</v>
      </c>
      <c r="B43" t="s">
        <v>33</v>
      </c>
      <c r="C43">
        <v>802.93299999999999</v>
      </c>
    </row>
    <row r="44" spans="1:3" x14ac:dyDescent="0.45">
      <c r="A44" t="s">
        <v>14</v>
      </c>
      <c r="B44" t="s">
        <v>36</v>
      </c>
      <c r="C44">
        <v>679.65899999999999</v>
      </c>
    </row>
    <row r="45" spans="1:3" x14ac:dyDescent="0.45">
      <c r="A45" t="s">
        <v>14</v>
      </c>
      <c r="B45" t="s">
        <v>34</v>
      </c>
      <c r="C45">
        <v>856.71</v>
      </c>
    </row>
    <row r="46" spans="1:3" x14ac:dyDescent="0.45">
      <c r="A46" t="s">
        <v>14</v>
      </c>
      <c r="B46" t="s">
        <v>7</v>
      </c>
      <c r="C46">
        <v>774.21400000000006</v>
      </c>
    </row>
    <row r="47" spans="1:3" x14ac:dyDescent="0.45">
      <c r="A47" t="s">
        <v>3</v>
      </c>
      <c r="B47" t="s">
        <v>8</v>
      </c>
      <c r="C47">
        <v>1185.5920000000001</v>
      </c>
    </row>
    <row r="48" spans="1:3" x14ac:dyDescent="0.45">
      <c r="A48" t="s">
        <v>3</v>
      </c>
      <c r="B48" t="s">
        <v>5</v>
      </c>
      <c r="C48">
        <v>860.74599999999998</v>
      </c>
    </row>
    <row r="49" spans="1:3" x14ac:dyDescent="0.45">
      <c r="A49" t="s">
        <v>3</v>
      </c>
      <c r="B49" t="s">
        <v>9</v>
      </c>
      <c r="C49">
        <v>1074.867</v>
      </c>
    </row>
    <row r="50" spans="1:3" x14ac:dyDescent="0.45">
      <c r="A50" t="s">
        <v>35</v>
      </c>
      <c r="B50" t="s">
        <v>33</v>
      </c>
      <c r="C50">
        <v>517.96500000000003</v>
      </c>
    </row>
    <row r="51" spans="1:3" x14ac:dyDescent="0.45">
      <c r="A51" t="s">
        <v>35</v>
      </c>
      <c r="B51" t="s">
        <v>36</v>
      </c>
      <c r="C51">
        <v>843.399</v>
      </c>
    </row>
    <row r="52" spans="1:3" x14ac:dyDescent="0.45">
      <c r="A52" t="s">
        <v>36</v>
      </c>
      <c r="B52" t="s">
        <v>35</v>
      </c>
      <c r="C52">
        <v>843.399</v>
      </c>
    </row>
    <row r="53" spans="1:3" x14ac:dyDescent="0.45">
      <c r="A53" t="s">
        <v>36</v>
      </c>
      <c r="B53" t="s">
        <v>33</v>
      </c>
      <c r="C53">
        <v>1066.8989999999999</v>
      </c>
    </row>
    <row r="54" spans="1:3" x14ac:dyDescent="0.45">
      <c r="A54" t="s">
        <v>36</v>
      </c>
      <c r="B54" t="s">
        <v>14</v>
      </c>
      <c r="C54">
        <v>679.65899999999999</v>
      </c>
    </row>
    <row r="55" spans="1:3" x14ac:dyDescent="0.45">
      <c r="A55" t="s">
        <v>36</v>
      </c>
      <c r="B55" t="s">
        <v>34</v>
      </c>
      <c r="C55">
        <v>848.86500000000001</v>
      </c>
    </row>
    <row r="56" spans="1:3" x14ac:dyDescent="0.45">
      <c r="A56" t="s">
        <v>34</v>
      </c>
      <c r="B56" t="s">
        <v>36</v>
      </c>
      <c r="C56">
        <v>848.86500000000001</v>
      </c>
    </row>
    <row r="57" spans="1:3" x14ac:dyDescent="0.45">
      <c r="A57" t="s">
        <v>34</v>
      </c>
      <c r="B57" t="s">
        <v>14</v>
      </c>
      <c r="C57">
        <v>856.71</v>
      </c>
    </row>
    <row r="58" spans="1:3" x14ac:dyDescent="0.45">
      <c r="A58" t="s">
        <v>34</v>
      </c>
      <c r="B58" t="s">
        <v>7</v>
      </c>
      <c r="C58">
        <v>835.59199999999998</v>
      </c>
    </row>
    <row r="59" spans="1:3" x14ac:dyDescent="0.45">
      <c r="A59" t="s">
        <v>34</v>
      </c>
      <c r="B59" t="s">
        <v>5</v>
      </c>
      <c r="C59">
        <v>777.04499999999996</v>
      </c>
    </row>
    <row r="60" spans="1:3" x14ac:dyDescent="0.45">
      <c r="A60" t="s">
        <v>34</v>
      </c>
      <c r="B60" t="s">
        <v>9</v>
      </c>
      <c r="C60">
        <v>635.55100000000004</v>
      </c>
    </row>
    <row r="61" spans="1:3" x14ac:dyDescent="0.45">
      <c r="A61" t="s">
        <v>9</v>
      </c>
      <c r="B61" t="s">
        <v>34</v>
      </c>
      <c r="C61">
        <v>635.55100000000004</v>
      </c>
    </row>
    <row r="62" spans="1:3" x14ac:dyDescent="0.45">
      <c r="A62" t="s">
        <v>9</v>
      </c>
      <c r="B62" t="s">
        <v>3</v>
      </c>
      <c r="C62">
        <v>1074.867</v>
      </c>
    </row>
    <row r="63" spans="1:3" x14ac:dyDescent="0.45">
      <c r="A63" t="s">
        <v>9</v>
      </c>
      <c r="B63" t="s">
        <v>5</v>
      </c>
      <c r="C63">
        <v>912.58799999999997</v>
      </c>
    </row>
    <row r="64" spans="1:3" x14ac:dyDescent="0.45">
      <c r="A64" t="s">
        <v>34</v>
      </c>
      <c r="B64" t="s">
        <v>37</v>
      </c>
      <c r="C64">
        <v>933.57500000000005</v>
      </c>
    </row>
    <row r="65" spans="1:3" x14ac:dyDescent="0.45">
      <c r="A65" t="s">
        <v>9</v>
      </c>
      <c r="B65" t="s">
        <v>37</v>
      </c>
      <c r="C65">
        <v>576.95600000000002</v>
      </c>
    </row>
  </sheetData>
  <conditionalFormatting sqref="A2:C65">
    <cfRule type="expression" dxfId="0" priority="1">
      <formula>$H2=1</formula>
    </cfRule>
  </conditionalFormatting>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2DE4F95-B7A8-4909-8F00-C5E9F23B095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Model_description</vt:lpstr>
      <vt:lpstr>Truck_information</vt:lpstr>
      <vt:lpstr>USA_Diesel_prices</vt:lpstr>
      <vt:lpstr>Tolls_and_check_facilities</vt:lpstr>
      <vt:lpstr>Medium_model</vt:lpstr>
      <vt:lpstr>Medium_model_data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Mei</dc:creator>
  <cp:lastModifiedBy>Peter Mei</cp:lastModifiedBy>
  <dcterms:created xsi:type="dcterms:W3CDTF">2015-06-05T18:17:20Z</dcterms:created>
  <dcterms:modified xsi:type="dcterms:W3CDTF">2023-04-11T15:11:44Z</dcterms:modified>
</cp:coreProperties>
</file>